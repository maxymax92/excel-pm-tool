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3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x-fti/Library/Containers/com.microsoft.Excel/Data/Documents/PMWorkbookAutomation/pm-build-cy8k7b9k/calculated/"/>
    </mc:Choice>
  </mc:AlternateContent>
  <xr:revisionPtr revIDLastSave="0" documentId="13_ncr:1_{27F5840F-C5CB-1946-AA6D-CB5C6A48E390}" xr6:coauthVersionLast="47" xr6:coauthVersionMax="47" xr10:uidLastSave="{00000000-0000-0000-0000-000000000000}"/>
  <bookViews>
    <workbookView xWindow="0" yWindow="0" windowWidth="28800" windowHeight="16200" xr2:uid="{00000000-000D-0000-FFFF-FFFF00000000}" minimized="0"/>
  </bookViews>
  <sheets>
    <sheet name="Overview" sheetId="1" r:id="rId1"/>
    <sheet name="Plan" sheetId="2" r:id="rId2"/>
    <sheet name="Items" sheetId="3" r:id="rId3"/>
    <sheet name="RAID" sheetId="4" r:id="rId4"/>
    <sheet name="Config" sheetId="5" r:id="rId5"/>
    <sheet name="Calc" sheetId="6" state="hidden" r:id="rId6"/>
  </sheets>
  <functionGroups builtInGroupCount="19"/>
  <definedNames>
    <definedName name="_xlpm.a" hidden="1" xlm="1">#NAME?</definedName>
    <definedName name="_xlpm.ac" hidden="1" xlm="1">#NAME?</definedName>
    <definedName name="_xlpm.big" hidden="1" xlm="1">#NAME?</definedName>
    <definedName name="_xlpm.blocked" hidden="1" xlm="1">#NAME?</definedName>
    <definedName name="_xlpm.bsince" hidden="1" xlm="1">#NAME?</definedName>
    <definedName name="_xlpm.cn" hidden="1" xlm="1">#NAME?</definedName>
    <definedName name="_xlpm.col" hidden="1" xlm="1">#NAME?</definedName>
    <definedName name="_xlpm.csv" hidden="1" xlm="1">#NAME?</definedName>
    <definedName name="_xlpm.ct" hidden="1" xlm="1">#NAME?</definedName>
    <definedName name="_xlpm.d" hidden="1" xlm="1">#NAME?</definedName>
    <definedName name="_xlpm.d1" hidden="1" xlm="1">#NAME?</definedName>
    <definedName name="_xlpm.d2" hidden="1" xlm="1">#NAME?</definedName>
    <definedName name="_xlpm.de" hidden="1" xlm="1">#NAME?</definedName>
    <definedName name="_xlpm.depthBad" hidden="1" xlm="1">#NAME?</definedName>
    <definedName name="_xlpm.dhealth" hidden="1" xlm="1">#NAME?</definedName>
    <definedName name="_xlpm.directblocked" hidden="1" xlm="1">#NAME?</definedName>
    <definedName name="_xlpm.dk" hidden="1" xlm="1">#NAME?</definedName>
    <definedName name="_xlpm.dn" hidden="1" xlm="1">#NAME?</definedName>
    <definedName name="_xlpm.dp" hidden="1" xlm="1">#NAME?</definedName>
    <definedName name="_xlpm.dt" hidden="1" xlm="1">#NAME?</definedName>
    <definedName name="_xlpm.du" hidden="1" xlm="1">#NAME?</definedName>
    <definedName name="_xlpm.du0" hidden="1" xlm="1">#NAME?</definedName>
    <definedName name="_xlpm.due" hidden="1" xlm="1">#NAME?</definedName>
    <definedName name="_xlpm.ed" hidden="1" xlm="1">#NAME?</definedName>
    <definedName name="_xlpm.eligible" hidden="1" xlm="1">#NAME?</definedName>
    <definedName name="_xlpm.empty" hidden="1" xlm="1">#NAME?</definedName>
    <definedName name="_xlpm.ends" hidden="1" xlm="1">#NAME?</definedName>
    <definedName name="_xlpm.es" hidden="1" xlm="1">#NAME?</definedName>
    <definedName name="_xlpm.es0" hidden="1" xlm="1">#NAME?</definedName>
    <definedName name="_xlpm.fromBad" hidden="1" xlm="1">#NAME?</definedName>
    <definedName name="_xlpm.glyph" hidden="1" xlm="1">#NAME?</definedName>
    <definedName name="_xlpm.hi" hidden="1" xlm="1">#NAME?</definedName>
    <definedName name="_xlpm.hi0" hidden="1" xlm="1">#NAME?</definedName>
    <definedName name="_xlpm.hrank" hidden="1" xlm="1">#NAME?</definedName>
    <definedName name="_xlpm.id" hidden="1" xlm="1">#NAME?</definedName>
    <definedName name="_xlpm.ids" hidden="1" xlm="1">#NAME?</definedName>
    <definedName name="_xlpm.ie" hidden="1" xlm="1">#NAME?</definedName>
    <definedName name="_xlpm.ik" hidden="1" xlm="1">#NAME?</definedName>
    <definedName name="_xlpm.ip" hidden="1" xlm="1">#NAME?</definedName>
    <definedName name="_xlpm.it" hidden="1" xlm="1">#NAME?</definedName>
    <definedName name="_xlpm.k" hidden="1" xlm="1">#NAME?</definedName>
    <definedName name="_xlpm.lo" hidden="1" xlm="1">#NAME?</definedName>
    <definedName name="_xlpm.lo0" hidden="1" xlm="1">#NAME?</definedName>
    <definedName name="_xlpm.lv" hidden="1" xlm="1">#NAME?</definedName>
    <definedName name="_xlpm.lvl" hidden="1" xlm="1">#NAME?</definedName>
    <definedName name="_xlpm.n" hidden="1" xlm="1">#NAME?</definedName>
    <definedName name="_xlpm.orderBad" hidden="1" xlm="1">#NAME?</definedName>
    <definedName name="_xlpm.own" hidden="1" xlm="1">#NAME?</definedName>
    <definedName name="_xlpm.p" hidden="1" xlm="1">#NAME?</definedName>
    <definedName name="_xlpm.parts" hidden="1" xlm="1">#NAME?</definedName>
    <definedName name="_xlpm.pid" hidden="1" xlm="1">#NAME?</definedName>
    <definedName name="_xlpm.pk" hidden="1" xlm="1">#NAME?</definedName>
    <definedName name="_xlpm.pred" hidden="1" xlm="1">#NAME?</definedName>
    <definedName name="_xlpm.pt" hidden="1" xlm="1">#NAME?</definedName>
    <definedName name="_xlpm.rk" hidden="1" xlm="1">#NAME?</definedName>
    <definedName name="_xlpm.rowsok" hidden="1" xlm="1">#NAME?</definedName>
    <definedName name="_xlpm.s" hidden="1" xlm="1">#NAME?</definedName>
    <definedName name="_xlpm.scope2ID" hidden="1" xlm="1">#NAME?</definedName>
    <definedName name="_xlpm.scope3ID" hidden="1" xlm="1">#NAME?</definedName>
    <definedName name="_xlpm.scopeBad" hidden="1" xlm="1">#NAME?</definedName>
    <definedName name="_xlpm.scopeID" hidden="1" xlm="1">#NAME?</definedName>
    <definedName name="_xlpm.selfid" hidden="1" xlm="1">#NAME?</definedName>
    <definedName name="_xlpm.span" hidden="1" xlm="1">#NAME?</definedName>
    <definedName name="_xlpm.starts" hidden="1" xlm="1">#NAME?</definedName>
    <definedName name="_xlpm.status" hidden="1" xlm="1">#NAME?</definedName>
    <definedName name="_xlpm.stt" hidden="1" xlm="1">#NAME?</definedName>
    <definedName name="_xlpm.t" hidden="1" xlm="1">#NAME?</definedName>
    <definedName name="_xlpm.tk" hidden="1" xlm="1">#NAME?</definedName>
    <definedName name="_xlpm.toBad" hidden="1" xlm="1">#NAME?</definedName>
    <definedName name="_xlpm.ttl" hidden="1" xlm="1">#NAME?</definedName>
    <definedName name="_xlpm.typ" hidden="1" xlm="1">#NAME?</definedName>
    <definedName name="_xlpm.updated" hidden="1" xlm="1">#NAME?</definedName>
    <definedName name="_xlpm.v" hidden="1" xlm="1">#NAME?</definedName>
    <definedName name="_xlpm.w" hidden="1" xlm="1">#NAME?</definedName>
    <definedName name="_xlpm.wk" hidden="1" xlm="1">#NAME?</definedName>
    <definedName name="cfgAlertSevScore">Config!$B$14</definedName>
    <definedName name="cfgBlockedRedDays">Config!$B$5</definedName>
    <definedName name="cfgComingHorizonDays">Config!$B$13</definedName>
    <definedName name="cfgComingNearDays">Config!$B$12</definedName>
    <definedName name="cfgComingSoonDays">Config!$B$11</definedName>
    <definedName name="cfgComingUrgentDays">Config!$B$10</definedName>
    <definedName name="cfgDueSoonDays">Config!$B$4</definedName>
    <definedName name="cfgExecutiveStatusMaxLevel">Config!$B$8</definedName>
    <definedName name="cfgItemIDPrefix">Config!$B$15</definedName>
    <definedName name="cfgKeyDateMaxLevel">Config!$B$9</definedName>
    <definedName name="cfgNextItemID">Config!$B$17</definedName>
    <definedName name="cfgNextRaidID">Config!$B$18</definedName>
    <definedName name="cfgRaidIDPrefix">Config!$B$16</definedName>
    <definedName name="cfgReportDays">Config!$B$7</definedName>
    <definedName name="cfgStaleDays">Config!$B$6</definedName>
    <definedName name="dvDeliveryHealth">Config!$AC$4:$AC$503</definedName>
    <definedName name="dvItemIDs">Calc!$A$2:$A$2001</definedName>
    <definedName name="dvPeople">Calc!$B$2:$B$501</definedName>
    <definedName name="dvPriorities">Config!$N$4:$N$503</definedName>
    <definedName name="dvRaidAlert">Config!$S$4:$S$503</definedName>
    <definedName name="dvRaidClosed">Config!$W$4:$W$503</definedName>
    <definedName name="dvRaidDecision">Config!$T$4:$T$503</definedName>
    <definedName name="dvRaidDeleted">Config!$X$4:$X$503</definedName>
    <definedName name="dvRaidStatuses">Config!$V$4:$V$503</definedName>
    <definedName name="dvRaidTypes">Config!$R$4:$R$503</definedName>
    <definedName name="dvScopeLabels">Calc!$M$2:$M$2002</definedName>
    <definedName name="dvSeverity">Config!$Z$4:$Z$503</definedName>
    <definedName name="dvSeverityMinScore">Config!$AA$4:$AA$503</definedName>
    <definedName name="dvStatus">Config!$E$4:$E$503</definedName>
    <definedName name="dvStatusActive">Config!$F$4:$F$503</definedName>
    <definedName name="dvStatusCancelled">Config!$H$4:$H$503</definedName>
    <definedName name="dvStatusDeleted">Config!$I$4:$I$503</definedName>
    <definedName name="dvStatusDone">Config!$G$4:$G$503</definedName>
    <definedName name="dvTeams">Config!$P$4:$P$503</definedName>
    <definedName name="dvTypeLevels">Config!$L$4:$L$503</definedName>
    <definedName name="dvTypes">Config!$K$4:$K$503</definedName>
    <definedName name="fnAncestorAtLevel">_xlfn.LAMBDA(_xlpm.id,_xlpm.lvl,_xlpm.d,IF(OR(_xlpm.id="",_xlpm.d&gt;8),"",IF(fnTypeLevel(fnItemLookup(_xlpm.id,tblItems[Type]))=_xlpm.lvl,_xlpm.id,fnAncestorAtLevel(fnItemLookup(_xlpm.id,tblItems[Parent]),_xlpm.lvl,_xlpm.d+1))))</definedName>
    <definedName name="fnBizDays">_xlfn.LAMBDA(_xlpm.d1,_xlpm.d2,IF(OR(_xlpm.d1="",_xlpm.d2=""),"",NETWORKDAYS(_xlpm.d1,_xlpm.d2)))</definedName>
    <definedName name="fnDepOpen">_xlfn.LAMBDA(_xlpm.csv,IF(_xlpm.csv="","",_xlfn.LET(_xlpm.parts,_xlfn.MAP(_xlfn.TEXTSPLIT(_xlpm.csv,",",,TRUE),_xlfn.LAMBDA(_xlpm.p,_xlfn.LET(_xlpm.pid,TRIM(_xlpm.p),IF(_xlpm.pid="","",IF(fnIsDone(fnItemLookup(_xlpm.pid,tblItems[Status])),"",_xlpm.pid))))),_xlfn.TEXTJOIN(", ",TRUE,_xlpm.parts))))</definedName>
    <definedName name="fnHealthRAG">_xlfn.LAMBDA(_xlpm.status,_xlpm.due,_xlpm.blocked,_xlpm.bsince,_xlpm.updated,IF(fnIsDone(_xlpm.status),"–",IF(OR(AND(_xlpm.due&lt;&gt;"",_xlpm.due&lt;TODAY()),AND(_xlpm.blocked=TRUE,_xlpm.bsince&lt;&gt;"",TODAY()-_xlpm.bsince&gt;=cfgBlockedRedDays)),"R",IF(OR(_xlpm.blocked=TRUE,AND(_xlpm.due&lt;&gt;"",_xlpm.due-TODAY()&lt;=cfgDueSoonDays),AND(_xlpm.updated&lt;&gt;"",TODAY()-_xlpm.updated&gt;=cfgStaleDays)),"A","G"))))</definedName>
    <definedName name="fnIsActive">_xlfn.LAMBDA(_xlpm.s,ISNUMBER(_xlfn.XMATCH(_xlpm.s,lstActiveStatus)))</definedName>
    <definedName name="fnIsCancelled">_xlfn.LAMBDA(_xlpm.s,ISNUMBER(_xlfn.XMATCH(_xlpm.s,lstCancelledStatus)))</definedName>
    <definedName name="fnIsDone">_xlfn.LAMBDA(_xlpm.s,ISNUMBER(_xlfn.XMATCH(_xlpm.s,lstDoneStatus)))</definedName>
    <definedName name="fnItemLookup">_xlfn.LAMBDA(_xlpm.id,_xlpm.col,_xlfn.LET(_xlpm.v,_xlfn.IFNA(_xlfn.XLOOKUP(_xlpm.id,tblItems[ID],_xlpm.col),""),IF(_xlpm.v=0,"",_xlpm.v)))</definedName>
    <definedName name="fnRefsValid">_xlfn.LAMBDA(_xlpm.csv,_xlpm.selfid,IF(_xlpm.csv="",TRUE,_xlfn.LET(_xlpm.parts,TRIM(_xlfn.TEXTSPLIT(_xlpm.csv,",",,TRUE)),AND(_xlpm.parts&lt;&gt;"",_xlpm.parts&lt;&gt;_xlpm.selfid,ISNUMBER(_xlfn.XMATCH(_xlpm.parts,tblItems[ID]))))))</definedName>
    <definedName name="fnSortDate">_xlfn.LAMBDA(_xlpm.id,_xlfn.LET(_xlpm.s,fnItemLookup(_xlpm.id,tblItems[Start]),_xlpm.du,fnItemLookup(_xlpm.id,tblItems[Due]),IF(_xlpm.s&lt;&gt;"",_xlpm.s,IF(_xlpm.du&lt;&gt;"",_xlpm.du,99999999))))</definedName>
    <definedName name="fnTypeLevel">_xlfn.LAMBDA(_xlpm.typ,IF(_xlpm.typ="",0,_xlfn.LET(_xlpm.v,_xlfn.IFNA(_xlfn.XLOOKUP(_xlpm.typ,tblTypes[Type],tblTypes[Level]),0),N(_xlpm.v))))</definedName>
    <definedName name="fnWbsKey">_xlfn.LAMBDA(_xlpm.id,_xlpm.d,IF(OR(_xlpm.id="",_xlpm.d&gt;8),"",fnWbsKey(fnItemLookup(_xlpm.id,tblItems[Parent]),_xlpm.d+1)&amp;TEXT(fnSortDate(_xlpm.id),"00000000")&amp;TEXT(_xlfn.IFNA(_xlfn.XMATCH(_xlpm.id,tblItems[ID]),0),"00000")))</definedName>
    <definedName name="lstActiveStatus">_xlfn.ANCHORARRAY(Calc!$D$2)</definedName>
    <definedName name="lstAlertRaid">_xlfn.ANCHORARRAY(Calc!$H$2)</definedName>
    <definedName name="lstCancelledStatus">_xlfn.ANCHORARRAY(Calc!$F$2)</definedName>
    <definedName name="lstClosedRaid">_xlfn.ANCHORARRAY(Calc!$G$2)</definedName>
    <definedName name="lstDecisionRaid">_xlfn.ANCHORARRAY(Calc!$I$2)</definedName>
    <definedName name="lstDoneStatus">_xlfn.ANCHORARRAY(Calc!$E$2)</definedName>
    <definedName name="_xlnm.Print_Area" localSheetId="0">Overview!$A$1:$U$7</definedName>
    <definedName name="_xlnm.Print_Area" localSheetId="1">Plan!$A$1:$BE$2005</definedName>
    <definedName name="_xlnm.Print_Titles" localSheetId="4">Config!$1:$3</definedName>
    <definedName name="_xlnm.Print_Titles" localSheetId="2">Items!$2:$2</definedName>
    <definedName name="_xlnm.Print_Titles" localSheetId="1">Plan!$1:$5</definedName>
    <definedName name="_xlnm.Print_Titles" localSheetId="3">RAID!$2:$2</definedName>
    <definedName name="selPDepth">Plan!$B$3</definedName>
    <definedName name="selPFrom">Plan!$E$2</definedName>
    <definedName name="selPScope">Plan!$B$2</definedName>
    <definedName name="selPScope2">Plan!$C$2</definedName>
    <definedName name="selPScope3">Plan!$C$3</definedName>
    <definedName name="selPScopeID">Plan!$BG$2</definedName>
    <definedName name="selPScopeID2">Plan!$BH$2</definedName>
    <definedName name="selPScopeID3">Plan!$BI$2</definedName>
    <definedName name="selPTo">Plan!$E$3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6" l="1" a="1"/>
  <c r="H2" i="6" a="1"/>
  <c r="G2" i="6" a="1"/>
  <c r="F2" i="6" a="1"/>
  <c r="E2" i="6" a="1"/>
  <c r="D2" i="6" a="1"/>
  <c r="B2" i="6" a="1"/>
  <c r="A2" i="6" a="1"/>
  <c r="D1" i="5"/>
  <c r="M4" i="4"/>
  <c r="J4" i="4" s="1"/>
  <c r="M3" i="4"/>
  <c r="J3" i="4" s="1"/>
  <c r="D1" i="4"/>
  <c r="AJ6" i="3"/>
  <c r="AI6" i="3"/>
  <c r="AB6" i="3"/>
  <c r="AA6" i="3"/>
  <c r="W6" i="3"/>
  <c r="V6" i="3"/>
  <c r="X6" i="3" s="1"/>
  <c r="U6" i="3"/>
  <c r="T6" i="3"/>
  <c r="S6" i="3"/>
  <c r="O6" i="3"/>
  <c r="P6" i="3" s="1"/>
  <c r="Q6" i="3" s="1"/>
  <c r="R6" i="3" s="1"/>
  <c r="M6" i="3"/>
  <c r="AJ5" i="3"/>
  <c r="AI5" i="3"/>
  <c r="AB5" i="3"/>
  <c r="AA5" i="3"/>
  <c r="X5" i="3"/>
  <c r="W5" i="3"/>
  <c r="V5" i="3"/>
  <c r="U5" i="3"/>
  <c r="T5" i="3"/>
  <c r="S5" i="3"/>
  <c r="O5" i="3"/>
  <c r="P5" i="3" s="1"/>
  <c r="Q5" i="3" s="1"/>
  <c r="R5" i="3" s="1"/>
  <c r="M5" i="3"/>
  <c r="AJ4" i="3"/>
  <c r="AI4" i="3"/>
  <c r="AB4" i="3"/>
  <c r="AA4" i="3"/>
  <c r="X4" i="3"/>
  <c r="W4" i="3"/>
  <c r="V4" i="3"/>
  <c r="U4" i="3"/>
  <c r="T4" i="3"/>
  <c r="S4" i="3"/>
  <c r="N5" i="3" s="1"/>
  <c r="O4" i="3"/>
  <c r="P4" i="3" s="1"/>
  <c r="Q4" i="3" s="1"/>
  <c r="R4" i="3" s="1"/>
  <c r="M4" i="3"/>
  <c r="AJ3" i="3"/>
  <c r="AI3" i="3"/>
  <c r="AB3" i="3"/>
  <c r="AA3" i="3"/>
  <c r="X3" i="3"/>
  <c r="W3" i="3"/>
  <c r="V3" i="3"/>
  <c r="U3" i="3"/>
  <c r="T3" i="3"/>
  <c r="S3" i="3"/>
  <c r="O3" i="3"/>
  <c r="P3" i="3" s="1"/>
  <c r="Q3" i="3" s="1"/>
  <c r="R3" i="3" s="1"/>
  <c r="N3" i="3"/>
  <c r="M3" i="3"/>
  <c r="D1" i="3"/>
  <c r="BI2" i="2"/>
  <c r="BH2" i="2"/>
  <c r="BG2" i="2"/>
  <c r="D1" i="2"/>
  <c r="A6" i="2" l="1" a="1"/>
  <c r="N4" i="4"/>
  <c r="N3" i="4"/>
  <c r="F3" i="1" a="1"/>
  <c r="AK3" i="6"/>
  <c r="K1" i="1" s="1"/>
  <c r="AK5" i="6"/>
  <c r="U1" i="1" s="1"/>
  <c r="Q3" i="1" a="1"/>
  <c r="Z4" i="3"/>
  <c r="Y6" i="3"/>
  <c r="Z5" i="3"/>
  <c r="Y5" i="3"/>
  <c r="Y4" i="3"/>
  <c r="Z6" i="3"/>
  <c r="Z3" i="3"/>
  <c r="Y3" i="3"/>
  <c r="K2" i="6" a="1"/>
  <c r="L2" i="6" s="1" a="1"/>
  <c r="M2" i="6" s="1" a="1"/>
  <c r="AK2" i="6"/>
  <c r="D1" i="1" s="1"/>
  <c r="M3" i="1" a="1"/>
  <c r="A3" i="1" a="1"/>
  <c r="N6" i="3"/>
  <c r="N4" i="3"/>
  <c r="AK4" i="6"/>
  <c r="O1" i="1" s="1"/>
  <c r="B6" i="2" l="1" a="1"/>
  <c r="C6" i="2" a="1"/>
  <c r="D6" i="2" a="1"/>
  <c r="E6" i="2" a="1"/>
  <c r="BH6" i="2" a="1"/>
  <c r="BI6" i="2" a="1"/>
  <c r="F5" i="2" a="1"/>
  <c r="BG3" i="2" a="1"/>
  <c r="F2" i="2" s="1"/>
  <c r="F4" i="2" l="1" a="1"/>
  <c r="F6" i="2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<sst xmlns="http://schemas.openxmlformats.org/spreadsheetml/2006/main" count="267" uniqueCount="198">
  <si>
    <t>Item</t>
  </si>
  <si>
    <t>Delivery Health</t>
  </si>
  <si>
    <t>Owner</t>
  </si>
  <si>
    <t>Due</t>
  </si>
  <si>
    <t>Type</t>
  </si>
  <si>
    <t>Description</t>
  </si>
  <si>
    <t>Severity</t>
  </si>
  <si>
    <t>Next review</t>
  </si>
  <si>
    <t>Latest Status</t>
  </si>
  <si>
    <t>Milestones / Decisions / Deadlines</t>
  </si>
  <si>
    <t>Date</t>
  </si>
  <si>
    <t>Scope</t>
  </si>
  <si>
    <t>Completed work</t>
  </si>
  <si>
    <t>Completed</t>
  </si>
  <si>
    <t>Executive Status Summary</t>
  </si>
  <si>
    <t>Top RAID</t>
  </si>
  <si>
    <t>Coming up</t>
  </si>
  <si>
    <t>Recent progress</t>
  </si>
  <si>
    <t>Plan - schedule &amp; key dates</t>
  </si>
  <si>
    <t>All</t>
  </si>
  <si>
    <t>Depth</t>
  </si>
  <si>
    <t>From</t>
  </si>
  <si>
    <t>To</t>
  </si>
  <si>
    <t>✓ Done</t>
  </si>
  <si>
    <t>● In progress</t>
  </si>
  <si>
    <t>— Planned</t>
  </si>
  <si>
    <t>! Overdue</t>
  </si>
  <si>
    <t>× Cancelled</t>
  </si>
  <si>
    <t>◆ Key date</t>
  </si>
  <si>
    <t>│ Today</t>
  </si>
  <si>
    <t>ID</t>
  </si>
  <si>
    <t>Start</t>
  </si>
  <si>
    <t>Items</t>
  </si>
  <si>
    <t>Title</t>
  </si>
  <si>
    <t>Parent</t>
  </si>
  <si>
    <t>Priority</t>
  </si>
  <si>
    <t>Status</t>
  </si>
  <si>
    <t>BlockedBy</t>
  </si>
  <si>
    <t>ParentTitle</t>
  </si>
  <si>
    <t>ParentLevel</t>
  </si>
  <si>
    <t>A2</t>
  </si>
  <si>
    <t>A3</t>
  </si>
  <si>
    <t>A4</t>
  </si>
  <si>
    <t>A5</t>
  </si>
  <si>
    <t>Level</t>
  </si>
  <si>
    <t>Children</t>
  </si>
  <si>
    <t>WaitingOn</t>
  </si>
  <si>
    <t>BlockedRefsValid</t>
  </si>
  <si>
    <t>IsBlocked</t>
  </si>
  <si>
    <t>DueIn</t>
  </si>
  <si>
    <t>Health</t>
  </si>
  <si>
    <t>AgeDays</t>
  </si>
  <si>
    <t>CycleDays</t>
  </si>
  <si>
    <t>Created</t>
  </si>
  <si>
    <t>Updated</t>
  </si>
  <si>
    <t>InProgressSince</t>
  </si>
  <si>
    <t>DoneDate</t>
  </si>
  <si>
    <t>BlockedSince</t>
  </si>
  <si>
    <t>LatestUpdateOn</t>
  </si>
  <si>
    <t>IsPoint</t>
  </si>
  <si>
    <t>WbsKey</t>
  </si>
  <si>
    <t>Source</t>
  </si>
  <si>
    <t>Source ID</t>
  </si>
  <si>
    <t>I-1001</t>
  </si>
  <si>
    <t>Project</t>
  </si>
  <si>
    <t>Example Project</t>
  </si>
  <si>
    <t>P2</t>
  </si>
  <si>
    <t>In Progress</t>
  </si>
  <si>
    <t>At risk</t>
  </si>
  <si>
    <t>EXAMPLE — delete this row</t>
  </si>
  <si>
    <t>Max</t>
  </si>
  <si>
    <t>I-1002</t>
  </si>
  <si>
    <t>Epic</t>
  </si>
  <si>
    <t>Example epic</t>
  </si>
  <si>
    <t>On track</t>
  </si>
  <si>
    <t>I-1003</t>
  </si>
  <si>
    <t>Task</t>
  </si>
  <si>
    <t>Example completed deliverable</t>
  </si>
  <si>
    <t>Done</t>
  </si>
  <si>
    <t>I-1004</t>
  </si>
  <si>
    <t>Release</t>
  </si>
  <si>
    <t>Example release</t>
  </si>
  <si>
    <t>P1</t>
  </si>
  <si>
    <t>Ready</t>
  </si>
  <si>
    <t>RAID</t>
  </si>
  <si>
    <t>RaidID</t>
  </si>
  <si>
    <t>Detail</t>
  </si>
  <si>
    <t>RelatedID</t>
  </si>
  <si>
    <t>Prob</t>
  </si>
  <si>
    <t>Impact</t>
  </si>
  <si>
    <t>Response</t>
  </si>
  <si>
    <t>NextReview</t>
  </si>
  <si>
    <t>Score</t>
  </si>
  <si>
    <t>Raised</t>
  </si>
  <si>
    <t>Closed</t>
  </si>
  <si>
    <t>R-001</t>
  </si>
  <si>
    <t>Risk</t>
  </si>
  <si>
    <t>Example risk — EXAMPLE — delete this row</t>
  </si>
  <si>
    <t>Key dependency may slip; mitigation owner assigned.</t>
  </si>
  <si>
    <t>Open</t>
  </si>
  <si>
    <t>Mitigate: weekly checkpoint with supplier</t>
  </si>
  <si>
    <t>R-002</t>
  </si>
  <si>
    <t>Decision</t>
  </si>
  <si>
    <t>Approve example launch scope</t>
  </si>
  <si>
    <t>Sponsor decision required before the release date.</t>
  </si>
  <si>
    <t>Confirm scope at the steering meeting</t>
  </si>
  <si>
    <t>Config</t>
  </si>
  <si>
    <t>Setting</t>
  </si>
  <si>
    <t>Value</t>
  </si>
  <si>
    <t>What it does</t>
  </si>
  <si>
    <t>DueSoonDays</t>
  </si>
  <si>
    <t>Due within N days -&gt; amber</t>
  </si>
  <si>
    <t>BlockedRedDays</t>
  </si>
  <si>
    <t>Blocked &gt;= N days -&gt; red</t>
  </si>
  <si>
    <t>StaleDays</t>
  </si>
  <si>
    <t>No update for &gt;= N days -&gt; stale</t>
  </si>
  <si>
    <t>ReportDays</t>
  </si>
  <si>
    <t>Overview look-back window (days)</t>
  </si>
  <si>
    <t>ExecutiveStatusMaxLevel</t>
  </si>
  <si>
    <t>Executive Status Summary shows open items at Levels 1..N; directly blocked deeper items also appear; each row keeps its own health</t>
  </si>
  <si>
    <t>KeyDateMaxLevel</t>
  </si>
  <si>
    <t>Key dates show on Overview at levels 2..N</t>
  </si>
  <si>
    <t>ComingUrgentDays</t>
  </si>
  <si>
    <t>Coming Up darkest band ends at N days</t>
  </si>
  <si>
    <t>ComingSoonDays</t>
  </si>
  <si>
    <t>Coming Up strong band ends at N days</t>
  </si>
  <si>
    <t>ComingNearDays</t>
  </si>
  <si>
    <t>Coming Up standard band ends at N days</t>
  </si>
  <si>
    <t>ComingHorizonDays</t>
  </si>
  <si>
    <t>Coming Up light band ends at N days</t>
  </si>
  <si>
    <t>AlertSevScore</t>
  </si>
  <si>
    <t>RAID score &gt;= N is a high-severity alert</t>
  </si>
  <si>
    <t>ItemIDPrefix</t>
  </si>
  <si>
    <t>I-</t>
  </si>
  <si>
    <t>Auto item ID prefix (VBA)</t>
  </si>
  <si>
    <t>RaidIDPrefix</t>
  </si>
  <si>
    <t>R-</t>
  </si>
  <si>
    <t>Auto RAID ID prefix (VBA)</t>
  </si>
  <si>
    <t>NextItemID</t>
  </si>
  <si>
    <t>Next item number (VBA-incremented)</t>
  </si>
  <si>
    <t>NextRaidID</t>
  </si>
  <si>
    <t>Next RAID number (VBA-incremented)</t>
  </si>
  <si>
    <t>IsActive</t>
  </si>
  <si>
    <t>IsDone</t>
  </si>
  <si>
    <t>IsCancelled</t>
  </si>
  <si>
    <t>IsDeleted</t>
  </si>
  <si>
    <t>Backlog</t>
  </si>
  <si>
    <t>Review</t>
  </si>
  <si>
    <t>Cancelled</t>
  </si>
  <si>
    <t>Deleted</t>
  </si>
  <si>
    <t>Product</t>
  </si>
  <si>
    <t>Initiative</t>
  </si>
  <si>
    <t>Phase</t>
  </si>
  <si>
    <t>Team</t>
  </si>
  <si>
    <t>Feature</t>
  </si>
  <si>
    <t>Deliverable</t>
  </si>
  <si>
    <t>Test Case</t>
  </si>
  <si>
    <t>Story</t>
  </si>
  <si>
    <t>Sub Task</t>
  </si>
  <si>
    <t>Bug</t>
  </si>
  <si>
    <t>P0</t>
  </si>
  <si>
    <t>P3</t>
  </si>
  <si>
    <t>P4</t>
  </si>
  <si>
    <t>Core</t>
  </si>
  <si>
    <t>RaidType</t>
  </si>
  <si>
    <t>IsAlert</t>
  </si>
  <si>
    <t>IsDecision</t>
  </si>
  <si>
    <t>Assumption</t>
  </si>
  <si>
    <t>Issue</t>
  </si>
  <si>
    <t>Dependency</t>
  </si>
  <si>
    <t>RaidStatus</t>
  </si>
  <si>
    <t>IsClosed</t>
  </si>
  <si>
    <t>Monitoring</t>
  </si>
  <si>
    <t>MinScore</t>
  </si>
  <si>
    <t>Low</t>
  </si>
  <si>
    <t>Medium</t>
  </si>
  <si>
    <t>High</t>
  </si>
  <si>
    <t>Critical</t>
  </si>
  <si>
    <t>Off track</t>
  </si>
  <si>
    <t>Blocked</t>
  </si>
  <si>
    <t>Person</t>
  </si>
  <si>
    <t>Role</t>
  </si>
  <si>
    <t>Technical PM</t>
  </si>
  <si>
    <t>Editing rules</t>
  </si>
  <si>
    <t>OVERVIEW TRUTH
• Executive Status Summary shows open items from Level 1 through ExecutiveStatusMaxLevel plus directly blocked deeper items; each row shows only its own Delivery Health.
• Plan Scope choices remain Level-1 Project/Product rows; changing the Executive Status Summary depth does not redefine Scope.
• Work: set Parent, Priority, Start, Status, Due and Owner.
• Delivery Health runs best-to-worst; its final Config option is the direct blocked state. BlockedBy remains available for dependency blockers.
• Key dates: give an item a Due date and no Start - it shows as a diamond on Plan and feeds the Overview outlook.
• RAID: RelatedID and Owner are optional; every open row needs NextReview. Alert types need Probability and Impact; non-alert rating cells reject entry.
• Top RAID shows open alert types only when Score is at or above AlertSevScore (High/Critical in the shipped bands).
• Coming Up merges future Due-only key dates with open decisions that have a future NextReview date; its four urgency thresholds come from Settings.
• Keep each item's Latest Status fresh - active items flag amber after StaleDays, and scope freshness is derived automatically.
LIST BEHAVIOUR
• Row order ranks Priority and Delivery Health.
• Delivery Health row 1 is best; row 2 is amber; rows 3+ are red; the final row is the direct-blocked state.
• RAID Probability and Impact use 1-5. Score = Probability × Impact (1-25).
• Severity is the highest band whose MinScore is no greater than Score.
• Type levels 1-6 drive hierarchy and Plan depth.
• Status and RAID flags drive stamping and views.
ENTERING DATES
Type 13 Jul 2026. Ctrl+; inserts today. Excel for Mac validates dates but does not show an in-cell calendar.</t>
  </si>
  <si>
    <t>ItemIDs</t>
  </si>
  <si>
    <t>People</t>
  </si>
  <si>
    <t>ActiveStatus</t>
  </si>
  <si>
    <t>DoneStatus</t>
  </si>
  <si>
    <t>CancelledStatus</t>
  </si>
  <si>
    <t>ClosedRaid</t>
  </si>
  <si>
    <t>AlertRaidTypes</t>
  </si>
  <si>
    <t>DecisionRaidTypes</t>
  </si>
  <si>
    <t>ScopeIDs</t>
  </si>
  <si>
    <t>ScopeLabels</t>
  </si>
  <si>
    <t>ScopeSelectors</t>
  </si>
  <si>
    <t>OverviewCounts</t>
  </si>
  <si>
    <t>Calc - internal helper ranges; nothing here is typed by 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</si>
</sst>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;;;"/>
    <numFmt numFmtId="165" formatCode="dd\ mmm\ yyyy"/>
    <numFmt numFmtId="166" formatCode="d"/>
    <numFmt numFmtId="167" formatCode="\+0;\-0;0"/>
  </numFmts>
  <fonts count="19" x14ac:knownFonts="1">
    <font>
      <sz val="10"/>
      <color theme="1"/>
      <name val="Aptos"/>
      <family val="2"/>
    </font>
    <font>
      <b/>
      <sz val="10"/>
      <color rgb="FF24364B"/>
      <name val="Aptos"/>
      <family val="2"/>
    </font>
    <font>
      <sz val="10"/>
      <color rgb="FF24364B"/>
      <name val="Aptos"/>
      <family val="2"/>
    </font>
    <font>
      <b/>
      <sz val="11"/>
      <color rgb="FFFFFFFF"/>
      <name val="Aptos"/>
      <family val="2"/>
    </font>
    <font>
      <b/>
      <sz val="9"/>
      <color rgb="FFFFFFFF"/>
      <name val="Aptos"/>
      <family val="2"/>
    </font>
    <font>
      <b/>
      <sz val="9"/>
      <color rgb="FF172B4D"/>
      <name val="Aptos"/>
      <family val="2"/>
    </font>
    <font>
      <sz val="10"/>
      <color rgb="FF4A5E73"/>
      <name val="Aptos"/>
      <family val="2"/>
    </font>
    <font>
      <b/>
      <sz val="18"/>
      <color rgb="FF172B4D"/>
      <name val="Aptos Display"/>
      <family val="2"/>
    </font>
    <font>
      <b/>
      <sz val="9"/>
      <color rgb="FF4A5E73"/>
      <name val="Aptos"/>
      <family val="2"/>
    </font>
    <font>
      <b/>
      <sz val="9"/>
      <color rgb="FF5B6573"/>
      <name val="Aptos"/>
      <family val="2"/>
    </font>
    <font>
      <b/>
      <sz val="10"/>
      <color rgb="FF4A5E73"/>
      <name val="Aptos"/>
      <family val="2"/>
    </font>
    <font>
      <sz val="9"/>
      <color rgb="FF4A5E73"/>
      <name val="Aptos"/>
      <family val="2"/>
    </font>
    <font>
      <sz val="9"/>
      <color rgb="FFFFFFFF"/>
      <name val="Aptos"/>
      <family val="2"/>
    </font>
    <font>
      <sz val="10"/>
      <color rgb="FF0B4A6F"/>
      <name val="Aptos"/>
      <family val="2"/>
    </font>
    <font>
      <b/>
      <sz val="12"/>
      <color rgb="FF24364B"/>
      <name val="Aptos"/>
      <family val="2"/>
    </font>
    <font>
      <sz val="10"/>
      <color rgb="FF24364B"/>
      <name val="Aptos"/>
      <family val="2"/>
    </font>
    <font>
      <b/>
      <sz val="11"/>
      <color rgb="FF24364B"/>
      <name val="Aptos"/>
      <family val="2"/>
    </font>
    <font>
      <sz val="10"/>
      <color rgb="FF5E7184"/>
      <name val="Aptos"/>
      <family val="2"/>
    </font>
    <font>
      <b/>
      <sz val="11"/>
      <color rgb="FF172B4D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72B4D"/>
        <bgColor indexed="64"/>
      </patternFill>
    </fill>
    <fill>
      <patternFill patternType="solid">
        <fgColor rgb="FFE8F3FC"/>
        <bgColor indexed="64"/>
      </patternFill>
    </fill>
    <fill>
      <patternFill patternType="solid">
        <fgColor rgb="FFF1F4F7"/>
        <bgColor indexed="64"/>
      </patternFill>
    </fill>
    <fill>
      <patternFill patternType="solid">
        <fgColor rgb="FF0E6655"/>
        <bgColor indexed="64"/>
      </patternFill>
    </fill>
    <fill>
      <patternFill patternType="solid">
        <fgColor rgb="FF0F6CBD"/>
        <bgColor indexed="64"/>
      </patternFill>
    </fill>
    <fill>
      <patternFill patternType="solid">
        <fgColor rgb="FF66788A"/>
        <bgColor indexed="64"/>
      </patternFill>
    </fill>
    <fill>
      <patternFill patternType="solid">
        <fgColor rgb="FFC42B1C"/>
        <bgColor indexed="64"/>
      </patternFill>
    </fill>
    <fill>
      <patternFill patternType="solid">
        <fgColor rgb="FFEEF2F6"/>
        <bgColor indexed="64"/>
      </patternFill>
    </fill>
    <fill>
      <patternFill patternType="solid">
        <fgColor rgb="FFF8FBFE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71869D"/>
      </bottom>
      <diagonal/>
    </border>
    <border>
      <left style="thin">
        <color rgb="FF71869D"/>
      </left>
      <right style="thin">
        <color rgb="FF71869D"/>
      </right>
      <top style="thin">
        <color rgb="FF71869D"/>
      </top>
      <bottom style="thin">
        <color rgb="FF71869D"/>
      </bottom>
      <diagonal/>
    </border>
    <border>
      <left/>
      <right/>
      <top/>
      <bottom style="thin">
        <color rgb="FFC8D2DE"/>
      </bottom>
      <diagonal/>
    </border>
    <border>
      <left/>
      <right/>
      <top/>
      <bottom style="thin">
        <color rgb="FF0F6CBD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right" vertical="top" wrapText="1"/>
    </xf>
    <xf numFmtId="164" fontId="2" fillId="0" borderId="0" xfId="0" applyNumberFormat="1" applyFont="1"/>
    <xf numFmtId="0" fontId="3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4" borderId="1" xfId="0" applyFont="1" applyFill="1" applyBorder="1" applyAlignment="1">
      <alignment horizontal="left" vertical="center" wrapText="1"/>
    </xf>
    <xf numFmtId="0" fontId="2" fillId="2" borderId="0" xfId="0" applyFont="1" applyFill="1" applyAlignment="1">
      <alignment horizontal="left" vertical="center"/>
    </xf>
    <xf numFmtId="165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2" fillId="11" borderId="2" xfId="0" applyFont="1" applyFill="1" applyBorder="1" applyAlignment="1" applyProtection="1">
      <alignment horizontal="left" vertical="center"/>
      <protection locked="0"/>
    </xf>
    <xf numFmtId="165" fontId="2" fillId="11" borderId="2" xfId="0" applyNumberFormat="1" applyFont="1" applyFill="1" applyBorder="1" applyAlignment="1" applyProtection="1">
      <alignment horizontal="right" vertical="center"/>
      <protection locked="0"/>
    </xf>
    <xf numFmtId="1" fontId="2" fillId="11" borderId="2" xfId="0" applyNumberFormat="1" applyFont="1" applyFill="1" applyBorder="1" applyAlignment="1" applyProtection="1">
      <alignment horizontal="left" vertical="center"/>
      <protection locked="0"/>
    </xf>
    <xf numFmtId="0" fontId="5" fillId="4" borderId="3" xfId="0" applyFont="1" applyFill="1" applyBorder="1" applyAlignment="1">
      <alignment horizontal="left" vertical="center"/>
    </xf>
    <xf numFmtId="166" fontId="12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 wrapText="1"/>
    </xf>
    <xf numFmtId="49" fontId="13" fillId="4" borderId="3" xfId="0" applyNumberFormat="1" applyFont="1" applyFill="1" applyBorder="1" applyAlignment="1" applyProtection="1">
      <alignment horizontal="left" vertical="center"/>
      <protection locked="0"/>
    </xf>
    <xf numFmtId="0" fontId="2" fillId="11" borderId="3" xfId="0" applyFont="1" applyFill="1" applyBorder="1" applyAlignment="1" applyProtection="1">
      <alignment horizontal="left" vertical="center"/>
      <protection locked="0"/>
    </xf>
    <xf numFmtId="0" fontId="14" fillId="11" borderId="3" xfId="0" applyFont="1" applyFill="1" applyBorder="1" applyAlignment="1" applyProtection="1">
      <alignment horizontal="left" vertical="top" wrapText="1"/>
      <protection locked="0"/>
    </xf>
    <xf numFmtId="49" fontId="2" fillId="11" borderId="3" xfId="0" applyNumberFormat="1" applyFont="1" applyFill="1" applyBorder="1" applyAlignment="1" applyProtection="1">
      <alignment horizontal="left" vertical="center"/>
      <protection locked="0"/>
    </xf>
    <xf numFmtId="165" fontId="2" fillId="11" borderId="3" xfId="0" applyNumberFormat="1" applyFont="1" applyFill="1" applyBorder="1" applyAlignment="1" applyProtection="1">
      <alignment horizontal="right" vertical="center"/>
      <protection locked="0"/>
    </xf>
    <xf numFmtId="0" fontId="13" fillId="11" borderId="3" xfId="0" applyFont="1" applyFill="1" applyBorder="1" applyAlignment="1" applyProtection="1">
      <alignment horizontal="left" vertical="top" wrapText="1"/>
      <protection locked="0"/>
    </xf>
    <xf numFmtId="0" fontId="6" fillId="5" borderId="3" xfId="0" applyFont="1" applyFill="1" applyBorder="1" applyAlignment="1">
      <alignment horizontal="left" vertical="center"/>
    </xf>
    <xf numFmtId="1" fontId="6" fillId="5" borderId="3" xfId="0" applyNumberFormat="1" applyFont="1" applyFill="1" applyBorder="1" applyAlignment="1">
      <alignment horizontal="right" vertical="center"/>
    </xf>
    <xf numFmtId="0" fontId="6" fillId="5" borderId="3" xfId="0" applyFont="1" applyFill="1" applyBorder="1" applyAlignment="1">
      <alignment horizontal="center" vertical="center"/>
    </xf>
    <xf numFmtId="167" fontId="6" fillId="5" borderId="3" xfId="0" applyNumberFormat="1" applyFont="1" applyFill="1" applyBorder="1" applyAlignment="1">
      <alignment horizontal="right" vertical="center"/>
    </xf>
    <xf numFmtId="0" fontId="10" fillId="5" borderId="3" xfId="0" applyFont="1" applyFill="1" applyBorder="1" applyAlignment="1">
      <alignment horizontal="center" vertical="center"/>
    </xf>
    <xf numFmtId="165" fontId="6" fillId="5" borderId="3" xfId="0" applyNumberFormat="1" applyFont="1" applyFill="1" applyBorder="1" applyAlignment="1" applyProtection="1">
      <alignment horizontal="right" vertical="center"/>
      <protection locked="0"/>
    </xf>
    <xf numFmtId="49" fontId="6" fillId="5" borderId="3" xfId="0" applyNumberFormat="1" applyFont="1" applyFill="1" applyBorder="1" applyAlignment="1" applyProtection="1">
      <alignment horizontal="left" vertical="center"/>
      <protection locked="0"/>
    </xf>
    <xf numFmtId="0" fontId="15" fillId="11" borderId="3" xfId="0" applyFont="1" applyFill="1" applyBorder="1" applyAlignment="1" applyProtection="1">
      <alignment horizontal="left" vertical="top" wrapText="1" indent="3"/>
      <protection locked="0"/>
    </xf>
    <xf numFmtId="0" fontId="15" fillId="11" borderId="3" xfId="0" applyFont="1" applyFill="1" applyBorder="1" applyAlignment="1" applyProtection="1">
      <alignment horizontal="left" vertical="top" wrapText="1" indent="4"/>
      <protection locked="0"/>
    </xf>
    <xf numFmtId="0" fontId="16" fillId="11" borderId="3" xfId="0" applyFont="1" applyFill="1" applyBorder="1" applyAlignment="1" applyProtection="1">
      <alignment horizontal="left" vertical="top" wrapText="1" indent="1"/>
      <protection locked="0"/>
    </xf>
    <xf numFmtId="0" fontId="2" fillId="11" borderId="3" xfId="0" applyFont="1" applyFill="1" applyBorder="1" applyAlignment="1" applyProtection="1">
      <alignment horizontal="left" vertical="top" wrapText="1"/>
      <protection locked="0"/>
    </xf>
    <xf numFmtId="1" fontId="2" fillId="11" borderId="3" xfId="0" applyNumberFormat="1" applyFont="1" applyFill="1" applyBorder="1" applyAlignment="1" applyProtection="1">
      <alignment horizontal="right" vertical="center"/>
      <protection locked="0"/>
    </xf>
    <xf numFmtId="0" fontId="5" fillId="10" borderId="1" xfId="0" applyFont="1" applyFill="1" applyBorder="1" applyAlignment="1">
      <alignment horizontal="left" vertical="center" wrapText="1"/>
    </xf>
    <xf numFmtId="1" fontId="2" fillId="11" borderId="2" xfId="0" applyNumberFormat="1" applyFont="1" applyFill="1" applyBorder="1" applyAlignment="1" applyProtection="1">
      <alignment horizontal="right" vertical="center"/>
      <protection locked="0"/>
    </xf>
    <xf numFmtId="0" fontId="17" fillId="0" borderId="3" xfId="0" applyFont="1" applyBorder="1" applyAlignment="1">
      <alignment horizontal="left" vertical="center" wrapText="1"/>
    </xf>
    <xf numFmtId="0" fontId="2" fillId="11" borderId="3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8" fillId="0" borderId="4" xfId="0" applyFont="1" applyBorder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5" fillId="10" borderId="1" xfId="0" applyFont="1" applyFill="1" applyBorder="1" applyAlignment="1">
      <alignment horizontal="left" vertical="center" wrapText="1"/>
    </xf>
    <xf numFmtId="0" fontId="6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214"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4A5E73"/>
      </font>
      <numFmt numFmtId="30" formatCode="@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30" formatCode="@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65" formatCode="dd\ mmm\ yyyy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" formatCode="0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" formatCode="0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30" formatCode="@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30" formatCode="@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7A4A00"/>
      </font>
      <fill>
        <patternFill>
          <bgColor rgb="FFFFF4CE"/>
        </patternFill>
      </fill>
    </dxf>
    <dxf>
      <font>
        <color rgb="FF7A4A00"/>
      </font>
      <fill>
        <patternFill>
          <bgColor rgb="FFFFF4CE"/>
        </patternFill>
      </fill>
    </dxf>
    <dxf>
      <font>
        <color rgb="FF137333"/>
      </font>
      <fill>
        <patternFill>
          <bgColor rgb="FFE6F4EA"/>
        </patternFill>
      </fill>
    </dxf>
    <dxf>
      <font>
        <color rgb="FFA4262C"/>
      </font>
      <fill>
        <patternFill>
          <bgColor rgb="FFFDE7E9"/>
        </patternFill>
      </fill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4A5E73"/>
      </font>
      <fill>
        <patternFill>
          <bgColor rgb="FFF1F4F7"/>
        </patternFill>
      </fill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4A5E73"/>
      </font>
      <numFmt numFmtId="30" formatCode="@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30" formatCode="@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5" formatCode="dd\ mmm\ yyyy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b/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67" formatCode="\+0;\-0;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1" formatCode="0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30" formatCode="@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65" formatCode="dd\ mmm\ yyyy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165" formatCode="dd\ mmm\ yyyy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numFmt numFmtId="30" formatCode="@"/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24364B"/>
      </font>
      <fill>
        <patternFill>
          <bgColor rgb="FFF8FBFE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4A5E73"/>
      </font>
      <numFmt numFmtId="30" formatCode="@"/>
      <fill>
        <patternFill>
          <bgColor rgb="FFF1F4F7"/>
        </patternFill>
      </fill>
      <border>
        <left/>
        <right/>
        <top/>
        <bottom style="thin">
          <color rgb="FFC8D2DE"/>
        </bottom>
        <vertical/>
        <horizontal/>
      </border>
    </dxf>
    <dxf>
      <font>
        <color rgb="FF5E7184"/>
      </font>
    </dxf>
    <dxf>
      <font>
        <b/>
        <color rgb="FF137333"/>
      </font>
      <fill>
        <patternFill>
          <bgColor rgb="FFE6F4EA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border>
        <left style="thin">
          <color rgb="FF7A4A00"/>
        </left>
        <right style="thin">
          <color rgb="FF7A4A00"/>
        </right>
        <top style="thin">
          <color rgb="FF7A4A00"/>
        </top>
        <bottom style="thin">
          <color rgb="FF7A4A00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7A4A00"/>
      </font>
      <fill>
        <patternFill>
          <bgColor rgb="FFFFF4CE"/>
        </patternFill>
      </fill>
    </dxf>
    <dxf>
      <font>
        <b/>
        <color rgb="FF137333"/>
      </font>
      <fill>
        <patternFill>
          <bgColor rgb="FFE6F4EA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border>
        <left style="thin">
          <color rgb="FF7A4A00"/>
        </left>
        <right style="thin">
          <color rgb="FF7A4A00"/>
        </right>
        <top style="thin">
          <color rgb="FF7A4A00"/>
        </top>
        <bottom style="thin">
          <color rgb="FF7A4A00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border>
        <left style="thin">
          <color rgb="FF7A4A00"/>
        </left>
        <right style="thin">
          <color rgb="FF7A4A00"/>
        </right>
        <top style="thin">
          <color rgb="FF7A4A00"/>
        </top>
        <bottom style="thin">
          <color rgb="FF7A4A00"/>
        </bottom>
        <vertical/>
        <horizontal/>
      </border>
    </dxf>
    <dxf>
      <font>
        <b/>
        <color rgb="FFA4262C"/>
      </font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b/>
        <color rgb="FF24364B"/>
      </font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24364B"/>
      </font>
      <fill>
        <patternFill>
          <bgColor rgb="FFFDE7E9"/>
        </patternFill>
      </fill>
    </dxf>
    <dxf>
      <font>
        <b/>
        <color rgb="FF24364B"/>
      </font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thin">
          <color rgb="FFA4262C"/>
        </left>
        <right style="thin">
          <color rgb="FFA4262C"/>
        </right>
        <top style="thin">
          <color rgb="FFA4262C"/>
        </top>
        <bottom style="thin">
          <color rgb="FFA4262C"/>
        </bottom>
        <vertical/>
        <horizontal/>
      </border>
    </dxf>
    <dxf>
      <font>
        <color rgb="FF24364B"/>
      </font>
      <fill>
        <patternFill>
          <bgColor rgb="FFF5F7FA"/>
        </patternFill>
      </fill>
    </dxf>
    <dxf>
      <font>
        <color rgb="FF24364B"/>
      </font>
      <fill>
        <patternFill>
          <bgColor rgb="FFEEF2F6"/>
        </patternFill>
      </fill>
    </dxf>
    <dxf>
      <border>
        <left style="thin">
          <color rgb="FFC8D2DE"/>
        </left>
        <right/>
        <top/>
        <bottom/>
        <vertical/>
        <horizontal/>
      </border>
    </dxf>
    <dxf>
      <border>
        <left style="medium">
          <color rgb="FF5B6573"/>
        </left>
        <right/>
        <top/>
        <bottom/>
        <vertical/>
        <horizontal/>
      </border>
    </dxf>
    <dxf>
      <font>
        <color rgb="FF4A5E73"/>
      </font>
      <fill>
        <patternFill>
          <bgColor rgb="FFEEF2F6"/>
        </patternFill>
      </fill>
      <border>
        <left/>
        <right/>
        <top style="medium">
          <color rgb="FFFFFFFF"/>
        </top>
        <bottom style="medium">
          <color rgb="FFFFFFFF"/>
        </bottom>
        <vertical/>
        <horizontal/>
      </border>
    </dxf>
    <dxf>
      <font>
        <color rgb="FFFFFFFF"/>
      </font>
      <fill>
        <patternFill>
          <bgColor rgb="FF66788A"/>
        </patternFill>
      </fill>
      <border>
        <left/>
        <right/>
        <top style="medium">
          <color rgb="FFFFFFFF"/>
        </top>
        <bottom style="medium">
          <color rgb="FFFFFFFF"/>
        </bottom>
        <vertical/>
        <horizontal/>
      </border>
    </dxf>
    <dxf>
      <font>
        <color rgb="FFFFFFFF"/>
      </font>
      <fill>
        <patternFill>
          <bgColor rgb="FFC42B1C"/>
        </patternFill>
      </fill>
      <border>
        <left/>
        <right/>
        <top style="medium">
          <color rgb="FFFFFFFF"/>
        </top>
        <bottom style="medium">
          <color rgb="FFFFFFFF"/>
        </bottom>
        <vertical/>
        <horizontal/>
      </border>
    </dxf>
    <dxf>
      <font>
        <color rgb="FFFFFFFF"/>
      </font>
      <fill>
        <patternFill>
          <bgColor rgb="FF0F6CBD"/>
        </patternFill>
      </fill>
      <border>
        <left/>
        <right/>
        <top style="medium">
          <color rgb="FFFFFFFF"/>
        </top>
        <bottom style="medium">
          <color rgb="FFFFFFFF"/>
        </bottom>
        <vertical/>
        <horizontal/>
      </border>
    </dxf>
    <dxf>
      <font>
        <color rgb="FFFFFFFF"/>
      </font>
      <fill>
        <patternFill>
          <bgColor rgb="FF0E6655"/>
        </patternFill>
      </fill>
      <border>
        <left/>
        <right/>
        <top style="medium">
          <color rgb="FFFFFFFF"/>
        </top>
        <bottom style="medium">
          <color rgb="FFFFFFFF"/>
        </bottom>
        <vertical/>
        <horizontal/>
      </border>
    </dxf>
    <dxf>
      <font>
        <b/>
        <color rgb="FF172B4D"/>
      </font>
    </dxf>
    <dxf>
      <border>
        <left style="thin">
          <color rgb="FFC8D2DE"/>
        </left>
        <right/>
        <top/>
        <bottom/>
        <vertical/>
        <horizontal/>
      </border>
    </dxf>
    <dxf>
      <border>
        <left style="medium">
          <color rgb="FF5B6573"/>
        </left>
        <right/>
        <top/>
        <bottom/>
        <vertical/>
        <horizontal/>
      </border>
    </dxf>
    <dxf>
      <font>
        <color rgb="FF7A4A00"/>
      </font>
      <fill>
        <patternFill>
          <bgColor rgb="FFFFF4CE"/>
        </patternFill>
      </fill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A4262C"/>
      </font>
      <fill>
        <patternFill>
          <bgColor rgb="FFFDE7E9"/>
        </patternFill>
      </fill>
      <border>
        <left style="medium">
          <color rgb="FFA4262C"/>
        </left>
        <right style="medium">
          <color rgb="FFA4262C"/>
        </right>
        <top style="medium">
          <color rgb="FFA4262C"/>
        </top>
        <bottom style="medium">
          <color rgb="FFA4262C"/>
        </bottom>
        <vertical/>
        <horizontal/>
      </border>
    </dxf>
    <dxf>
      <font>
        <color rgb="FF24364B"/>
      </font>
      <fill>
        <patternFill>
          <bgColor rgb="FFF5F7FA"/>
        </patternFill>
      </fill>
    </dxf>
    <dxf>
      <font>
        <b/>
        <color rgb="FF24364B"/>
      </font>
    </dxf>
    <dxf>
      <font>
        <b/>
        <color rgb="FF24364B"/>
      </font>
      <fill>
        <patternFill>
          <bgColor rgb="FFEEF2F6"/>
        </patternFill>
      </fill>
    </dxf>
    <dxf>
      <font>
        <color rgb="FF356A92"/>
      </font>
      <fill>
        <patternFill>
          <bgColor rgb="FFF3F9FD"/>
        </patternFill>
      </fill>
    </dxf>
    <dxf>
      <font>
        <b/>
        <color rgb="FF0F548C"/>
      </font>
      <fill>
        <patternFill>
          <bgColor rgb="FFE8F3FC"/>
        </patternFill>
      </fill>
    </dxf>
    <dxf>
      <font>
        <b/>
        <color rgb="FFFFFFFF"/>
      </font>
      <fill>
        <patternFill>
          <bgColor rgb="FF0F6CBD"/>
        </patternFill>
      </fill>
    </dxf>
    <dxf>
      <font>
        <b/>
        <color rgb="FFFFFFFF"/>
      </font>
      <fill>
        <patternFill>
          <bgColor rgb="FF0B4A6F"/>
        </patternFill>
      </fill>
      <border>
        <left/>
        <right/>
        <top/>
        <bottom style="medium">
          <color rgb="FFC42B1C"/>
        </bottom>
        <vertical/>
        <horizontal/>
      </border>
    </dxf>
    <dxf>
      <font>
        <b/>
        <color rgb="FF7A4A00"/>
      </font>
      <fill>
        <patternFill>
          <bgColor rgb="FFFFF4CE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137333"/>
      </font>
      <fill>
        <patternFill>
          <bgColor rgb="FFE6F4EA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A4262C"/>
      </font>
      <fill>
        <patternFill>
          <bgColor rgb="FFFDE7E9"/>
        </patternFill>
      </fill>
    </dxf>
    <dxf>
      <font>
        <b/>
        <color rgb="FF7A4A00"/>
      </font>
      <fill>
        <patternFill>
          <bgColor rgb="FFFFF4CE"/>
        </patternFill>
      </fill>
    </dxf>
    <dxf>
      <font>
        <b/>
        <color rgb="FF137333"/>
      </font>
      <fill>
        <patternFill>
          <bgColor rgb="FFE6F4EA"/>
        </patternFill>
      </fill>
    </dxf>
    <dxf>
      <font>
        <b/>
        <color rgb="FFA4262C"/>
      </font>
      <fill>
        <patternFill>
          <bgColor rgb="FFFDE7E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31</xdr:row>
      <xdr:rowOff>57150</xdr:rowOff>
    </xdr:from>
    <xdr:to>
      <xdr:col>0</xdr:col>
      <xdr:colOff>1524000</xdr:colOff>
      <xdr:row>31</xdr:row>
      <xdr:rowOff>323850</xdr:rowOff>
    </xdr:to>
    <xdr:sp macro="[0]!ExportMarkdown" textlink="">
      <xdr:nvSpPr>
        <xdr:cNvPr id="2" name="TextBox 1" descr="Export Overview, Items and RAID as a UTF-8 Markdown brie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8382000"/>
          <a:ext cx="1524000" cy="266700"/>
        </a:xfrm>
        <a:prstGeom prst="rect">
          <a:avLst/>
        </a:prstGeom>
        <a:solidFill>
          <a:srgbClr val="0F6CBD"/>
        </a:solidFill>
        <a:ln w="12700" cmpd="sng">
          <a:solidFill>
            <a:srgbClr val="0B4A6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Aptos"/>
              <a:cs typeface="Aptos"/>
            </a:rPr>
            <a:t>Export to Markdown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0</xdr:colOff>
      <xdr:row>0</xdr:row>
      <xdr:rowOff>57150</xdr:rowOff>
    </xdr:from>
    <xdr:to>
      <xdr:col>9</xdr:col>
      <xdr:colOff>1143000</xdr:colOff>
      <xdr:row>0</xdr:row>
      <xdr:rowOff>323850</xdr:rowOff>
    </xdr:to>
    <xdr:sp macro="[0]!OrganiseItems" textlink="">
      <xdr:nvSpPr>
        <xdr:cNvPr id="2" name="TextBox 1" descr="Sort Items into hierarchy order and rebuild row group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163050" y="57150"/>
          <a:ext cx="1143000" cy="266700"/>
        </a:xfrm>
        <a:prstGeom prst="rect">
          <a:avLst/>
        </a:prstGeom>
        <a:solidFill>
          <a:srgbClr val="0F6CBD"/>
        </a:solidFill>
        <a:ln w="12700" cmpd="sng">
          <a:solidFill>
            <a:srgbClr val="0B4A6F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000" b="1">
              <a:solidFill>
                <a:srgbClr val="FFFFFF"/>
              </a:solidFill>
              <a:latin typeface="Aptos"/>
              <a:cs typeface="Aptos"/>
            </a:rPr>
            <a:t>Organise rows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Items" displayName="tblItems" ref="A2:AL6" totalsRowShown="0">
  <autoFilter ref="A2:AL6" xr:uid="{00000000-0009-0000-0100-000001000000}"/>
  <tableColumns count="38">
    <tableColumn id="1" xr3:uid="{00000000-0010-0000-0000-000001000000}" name="ID" dataDxfId="132"/>
    <tableColumn id="2" xr3:uid="{00000000-0010-0000-0000-000002000000}" name="Type" dataDxfId="131"/>
    <tableColumn id="3" xr3:uid="{00000000-0010-0000-0000-000003000000}" name="Title" dataDxfId="130"/>
    <tableColumn id="4" xr3:uid="{00000000-0010-0000-0000-000004000000}" name="Parent" dataDxfId="129"/>
    <tableColumn id="5" xr3:uid="{00000000-0010-0000-0000-000005000000}" name="Priority" dataDxfId="128"/>
    <tableColumn id="6" xr3:uid="{00000000-0010-0000-0000-000006000000}" name="Start" dataDxfId="127"/>
    <tableColumn id="7" xr3:uid="{00000000-0010-0000-0000-000007000000}" name="Status" dataDxfId="126"/>
    <tableColumn id="8" xr3:uid="{00000000-0010-0000-0000-000008000000}" name="Due" dataDxfId="125"/>
    <tableColumn id="9" xr3:uid="{00000000-0010-0000-0000-000009000000}" name="Delivery Health" dataDxfId="124"/>
    <tableColumn id="10" xr3:uid="{00000000-0010-0000-0000-00000A000000}" name="Latest Status" dataDxfId="123"/>
    <tableColumn id="11" xr3:uid="{00000000-0010-0000-0000-00000B000000}" name="Owner" dataDxfId="122"/>
    <tableColumn id="12" xr3:uid="{00000000-0010-0000-0000-00000C000000}" name="BlockedBy" dataDxfId="121"/>
    <tableColumn id="13" xr3:uid="{00000000-0010-0000-0000-00000D000000}" name="ParentTitle" dataDxfId="120">
      <calculatedColumnFormula>IF(tblItems[[#This Row],[Parent]]="","",fnItemLookup(tblItems[[#This Row],[Parent]],tblItems[Title]))</calculatedColumnFormula>
    </tableColumn>
    <tableColumn id="14" xr3:uid="{00000000-0010-0000-0000-00000E000000}" name="ParentLevel" dataDxfId="119">
      <calculatedColumnFormula>IF(tblItems[[#This Row],[Parent]]="",0,_xlfn.IFNA(INDEX(tblItems[Level],MATCH(tblItems[[#This Row],[Parent]],tblItems[ID],0)),0))</calculatedColumnFormula>
    </tableColumn>
    <tableColumn id="15" xr3:uid="{00000000-0010-0000-0000-00000F000000}" name="A2" dataDxfId="118">
      <calculatedColumnFormula>IF(tblItems[[#This Row],[Parent]]="","",fnItemLookup(tblItems[[#This Row],[Parent]],tblItems[Parent]))</calculatedColumnFormula>
    </tableColumn>
    <tableColumn id="16" xr3:uid="{00000000-0010-0000-0000-000010000000}" name="A3" dataDxfId="117">
      <calculatedColumnFormula>IF(tblItems[[#This Row],[A2]]="","",fnItemLookup(tblItems[[#This Row],[A2]],tblItems[Parent]))</calculatedColumnFormula>
    </tableColumn>
    <tableColumn id="17" xr3:uid="{00000000-0010-0000-0000-000011000000}" name="A4" dataDxfId="116">
      <calculatedColumnFormula>IF(tblItems[[#This Row],[A3]]="","",fnItemLookup(tblItems[[#This Row],[A3]],tblItems[Parent]))</calculatedColumnFormula>
    </tableColumn>
    <tableColumn id="18" xr3:uid="{00000000-0010-0000-0000-000012000000}" name="A5" dataDxfId="115">
      <calculatedColumnFormula>IF(tblItems[[#This Row],[A4]]="","",fnItemLookup(tblItems[[#This Row],[A4]],tblItems[Parent]))</calculatedColumnFormula>
    </tableColumn>
    <tableColumn id="19" xr3:uid="{00000000-0010-0000-0000-000013000000}" name="Level" dataDxfId="114">
      <calculatedColumnFormula>IF(tblItems[[#This Row],[ID]]="",0,fnTypeLevel(tblItems[[#This Row],[Type]]))</calculatedColumnFormula>
    </tableColumn>
    <tableColumn id="20" xr3:uid="{00000000-0010-0000-0000-000014000000}" name="Scope" dataDxfId="113">
      <calculatedColumnFormula>fnAncestorAtLevel(tblItems[[#This Row],[ID]],1,0)</calculatedColumnFormula>
    </tableColumn>
    <tableColumn id="21" xr3:uid="{00000000-0010-0000-0000-000015000000}" name="Children" dataDxfId="112">
      <calculatedColumnFormula>IF(tblItems[[#This Row],[ID]]="",0,COUNTIF(tblItems[Parent],tblItems[[#This Row],[ID]]))</calculatedColumnFormula>
    </tableColumn>
    <tableColumn id="22" xr3:uid="{00000000-0010-0000-0000-000016000000}" name="WaitingOn" dataDxfId="111">
      <calculatedColumnFormula>fnDepOpen(tblItems[[#This Row],[BlockedBy]])</calculatedColumnFormula>
    </tableColumn>
    <tableColumn id="23" xr3:uid="{00000000-0010-0000-0000-000017000000}" name="BlockedRefsValid" dataDxfId="110">
      <calculatedColumnFormula>fnRefsValid(tblItems[[#This Row],[BlockedBy]],tblItems[[#This Row],[ID]])</calculatedColumnFormula>
    </tableColumn>
    <tableColumn id="24" xr3:uid="{00000000-0010-0000-0000-000018000000}" name="IsBlocked" dataDxfId="109">
      <calculatedColumnFormula>OR(AND(tblItems[[#This Row],[Delivery Health]]&lt;&gt;"",tblItems[[#This Row],[Delivery Health]]=LOOKUP(2,1/(dvDeliveryHealth&lt;&gt;""),dvDeliveryHealth)),tblItems[[#This Row],[WaitingOn]]&lt;&gt;"")</calculatedColumnFormula>
    </tableColumn>
    <tableColumn id="25" xr3:uid="{00000000-0010-0000-0000-000019000000}" name="DueIn" dataDxfId="108">
      <calculatedColumnFormula>IF(OR(tblItems[[#This Row],[Due]]="",fnIsDone(tblItems[[#This Row],[Status]])),"",tblItems[[#This Row],[Due]]-TODAY())</calculatedColumnFormula>
    </tableColumn>
    <tableColumn id="26" xr3:uid="{00000000-0010-0000-0000-00001A000000}" name="Health" dataDxfId="107">
      <calculatedColumnFormula>fnHealthRAG(tblItems[[#This Row],[Status]],tblItems[[#This Row],[Due]],tblItems[[#This Row],[IsBlocked]],tblItems[[#This Row],[BlockedSince]],tblItems[[#This Row],[Updated]])</calculatedColumnFormula>
    </tableColumn>
    <tableColumn id="27" xr3:uid="{00000000-0010-0000-0000-00001B000000}" name="AgeDays" dataDxfId="106">
      <calculatedColumnFormula>IF(tblItems[[#This Row],[Created]]="","",fnBizDays(tblItems[[#This Row],[Created]],IF(tblItems[[#This Row],[DoneDate]]="",TODAY(),tblItems[[#This Row],[DoneDate]])))</calculatedColumnFormula>
    </tableColumn>
    <tableColumn id="28" xr3:uid="{00000000-0010-0000-0000-00001C000000}" name="CycleDays" dataDxfId="105">
      <calculatedColumnFormula>IF(tblItems[[#This Row],[InProgressSince]]="","",fnBizDays(tblItems[[#This Row],[InProgressSince]],IF(tblItems[[#This Row],[DoneDate]]="",TODAY(),tblItems[[#This Row],[DoneDate]])))</calculatedColumnFormula>
    </tableColumn>
    <tableColumn id="29" xr3:uid="{00000000-0010-0000-0000-00001D000000}" name="Created" dataDxfId="104"/>
    <tableColumn id="30" xr3:uid="{00000000-0010-0000-0000-00001E000000}" name="Updated" dataDxfId="103"/>
    <tableColumn id="31" xr3:uid="{00000000-0010-0000-0000-00001F000000}" name="InProgressSince" dataDxfId="102"/>
    <tableColumn id="32" xr3:uid="{00000000-0010-0000-0000-000020000000}" name="DoneDate" dataDxfId="101"/>
    <tableColumn id="33" xr3:uid="{00000000-0010-0000-0000-000021000000}" name="BlockedSince" dataDxfId="100"/>
    <tableColumn id="34" xr3:uid="{00000000-0010-0000-0000-000022000000}" name="LatestUpdateOn" dataDxfId="99"/>
    <tableColumn id="35" xr3:uid="{00000000-0010-0000-0000-000023000000}" name="IsPoint" dataDxfId="98">
      <calculatedColumnFormula>IF(tblItems[[#This Row],[ID]]="",FALSE,AND(tblItems[[#This Row],[Due]]&lt;&gt;"",tblItems[[#This Row],[Start]]=""))</calculatedColumnFormula>
    </tableColumn>
    <tableColumn id="36" xr3:uid="{00000000-0010-0000-0000-000024000000}" name="WbsKey" dataDxfId="97">
      <calculatedColumnFormula>IF(tblItems[[#This Row],[ID]]="",REPT("Z",50),fnWbsKey(tblItems[[#This Row],[ID]],0))</calculatedColumnFormula>
    </tableColumn>
    <tableColumn id="37" xr3:uid="{00000000-0010-0000-0000-000025000000}" name="Source" dataDxfId="96"/>
    <tableColumn id="38" xr3:uid="{00000000-0010-0000-0000-000026000000}" name="Source ID" dataDxfId="9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AID" displayName="tblRAID" ref="A2:S4" totalsRowShown="0">
  <autoFilter ref="A2:S4" xr:uid="{00000000-0009-0000-0100-000002000000}"/>
  <tableColumns count="19">
    <tableColumn id="1" xr3:uid="{00000000-0010-0000-0100-000001000000}" name="RaidID" dataDxfId="65"/>
    <tableColumn id="2" xr3:uid="{00000000-0010-0000-0100-000002000000}" name="Type" dataDxfId="64"/>
    <tableColumn id="3" xr3:uid="{00000000-0010-0000-0100-000003000000}" name="Title" dataDxfId="63"/>
    <tableColumn id="4" xr3:uid="{00000000-0010-0000-0100-000004000000}" name="Detail" dataDxfId="62"/>
    <tableColumn id="5" xr3:uid="{00000000-0010-0000-0100-000005000000}" name="RelatedID" dataDxfId="61"/>
    <tableColumn id="6" xr3:uid="{00000000-0010-0000-0100-000006000000}" name="Owner" dataDxfId="60"/>
    <tableColumn id="7" xr3:uid="{00000000-0010-0000-0100-000007000000}" name="Status" dataDxfId="59"/>
    <tableColumn id="8" xr3:uid="{00000000-0010-0000-0100-000008000000}" name="Prob" dataDxfId="58"/>
    <tableColumn id="9" xr3:uid="{00000000-0010-0000-0100-000009000000}" name="Impact" dataDxfId="57"/>
    <tableColumn id="10" xr3:uid="{00000000-0010-0000-0100-00000A000000}" name="Severity" dataDxfId="56">
      <calculatedColumnFormula>IF(tblRAID[[#This Row],[Score]]="","",INDEX(tblSeverity[Severity],MATCH(tblRAID[[#This Row],[Score]],tblSeverity[MinScore],1)))</calculatedColumnFormula>
    </tableColumn>
    <tableColumn id="11" xr3:uid="{00000000-0010-0000-0100-00000B000000}" name="Response" dataDxfId="55"/>
    <tableColumn id="12" xr3:uid="{00000000-0010-0000-0100-00000C000000}" name="NextReview" dataDxfId="54"/>
    <tableColumn id="13" xr3:uid="{00000000-0010-0000-0100-00000D000000}" name="Score" dataDxfId="53">
      <calculatedColumnFormula>IF(OR(tblRAID[[#This Row],[Prob]]="",tblRAID[[#This Row],[Impact]]="",COUNTIFS(dvRaidTypes,tblRAID[[#This Row],[Type]],dvRaidAlert,TRUE)=0),"",tblRAID[[#This Row],[Prob]]*tblRAID[[#This Row],[Impact]])</calculatedColumnFormula>
    </tableColumn>
    <tableColumn id="14" xr3:uid="{00000000-0010-0000-0100-00000E000000}" name="Scope" dataDxfId="52">
      <calculatedColumnFormula>IF(tblRAID[[#This Row],[RelatedID]]="","",_xlfn.IFNA(INDEX(tblItems[Scope],MATCH(tblRAID[[#This Row],[RelatedID]],tblItems[ID],0)),""))</calculatedColumnFormula>
    </tableColumn>
    <tableColumn id="15" xr3:uid="{00000000-0010-0000-0100-00000F000000}" name="Raised" dataDxfId="51"/>
    <tableColumn id="16" xr3:uid="{00000000-0010-0000-0100-000010000000}" name="Closed" dataDxfId="50"/>
    <tableColumn id="17" xr3:uid="{00000000-0010-0000-0100-000011000000}" name="Updated" dataDxfId="49"/>
    <tableColumn id="18" xr3:uid="{00000000-0010-0000-0100-000012000000}" name="Source" dataDxfId="48"/>
    <tableColumn id="19" xr3:uid="{00000000-0010-0000-0100-000013000000}" name="Source ID" dataDxfId="4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tatuses" displayName="tblStatuses" ref="E3:I10" totalsRowShown="0">
  <autoFilter ref="E3:I10" xr:uid="{00000000-0009-0000-0100-000003000000}"/>
  <tableColumns count="5">
    <tableColumn id="1" xr3:uid="{00000000-0010-0000-0200-000001000000}" name="Status"/>
    <tableColumn id="2" xr3:uid="{00000000-0010-0000-0200-000002000000}" name="IsActive"/>
    <tableColumn id="3" xr3:uid="{00000000-0010-0000-0200-000003000000}" name="IsDone"/>
    <tableColumn id="4" xr3:uid="{00000000-0010-0000-0200-000004000000}" name="IsCancelled"/>
    <tableColumn id="5" xr3:uid="{00000000-0010-0000-0200-000005000000}" name="IsDeleted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ypes" displayName="tblTypes" ref="K3:L17" totalsRowShown="0">
  <autoFilter ref="K3:L17" xr:uid="{00000000-0009-0000-0100-000004000000}"/>
  <tableColumns count="2">
    <tableColumn id="1" xr3:uid="{00000000-0010-0000-0300-000001000000}" name="Type"/>
    <tableColumn id="2" xr3:uid="{00000000-0010-0000-0300-000002000000}" name="Level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riorities" displayName="tblPriorities" ref="N3:N8" totalsRowShown="0">
  <autoFilter ref="N3:N8" xr:uid="{00000000-0009-0000-0100-000005000000}"/>
  <tableColumns count="1">
    <tableColumn id="1" xr3:uid="{00000000-0010-0000-0400-000001000000}" name="Priority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eams" displayName="tblTeams" ref="P3:P4" totalsRowShown="0">
  <autoFilter ref="P3:P4" xr:uid="{00000000-0009-0000-0100-000006000000}"/>
  <tableColumns count="1">
    <tableColumn id="1" xr3:uid="{00000000-0010-0000-0500-000001000000}" name="Team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RaidTypes" displayName="tblRaidTypes" ref="R3:T8" totalsRowShown="0">
  <autoFilter ref="R3:T8" xr:uid="{00000000-0009-0000-0100-000007000000}"/>
  <tableColumns count="3">
    <tableColumn id="1" xr3:uid="{00000000-0010-0000-0600-000001000000}" name="RaidType"/>
    <tableColumn id="2" xr3:uid="{00000000-0010-0000-0600-000002000000}" name="IsAlert"/>
    <tableColumn id="3" xr3:uid="{00000000-0010-0000-0600-000003000000}" name="IsDecision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RaidStatuses" displayName="tblRaidStatuses" ref="V3:X7" totalsRowShown="0">
  <autoFilter ref="V3:X7" xr:uid="{00000000-0009-0000-0100-000008000000}"/>
  <tableColumns count="3">
    <tableColumn id="1" xr3:uid="{00000000-0010-0000-0700-000001000000}" name="RaidStatus"/>
    <tableColumn id="2" xr3:uid="{00000000-0010-0000-0700-000002000000}" name="IsClosed"/>
    <tableColumn id="3" xr3:uid="{00000000-0010-0000-0700-000003000000}" name="IsDeleted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verity" displayName="tblSeverity" ref="Z3:AA7" totalsRowShown="0">
  <autoFilter ref="Z3:AA7" xr:uid="{00000000-0009-0000-0100-000009000000}"/>
  <tableColumns count="2">
    <tableColumn id="1" xr3:uid="{00000000-0010-0000-0800-000001000000}" name="Severity"/>
    <tableColumn id="2" xr3:uid="{00000000-0010-0000-0800-000002000000}" name="MinScore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DeliveryHealth" displayName="tblDeliveryHealth" ref="AC3:AC7" totalsRowShown="0">
  <autoFilter ref="AC3:AC7" xr:uid="{00000000-0009-0000-0100-00000A000000}"/>
  <tableColumns count="1">
    <tableColumn id="1" xr3:uid="{00000000-0010-0000-0900-000001000000}" name="Delivery Health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eople" displayName="tblPeople" ref="AE3:AG4" totalsRowShown="0">
  <autoFilter ref="AE3:AG4" xr:uid="{00000000-0009-0000-0100-00000B000000}"/>
  <tableColumns count="3">
    <tableColumn id="1" xr3:uid="{00000000-0010-0000-0A00-000001000000}" name="Person"/>
    <tableColumn id="2" xr3:uid="{00000000-0010-0000-0A00-000002000000}" name="Role"/>
    <tableColumn id="3" xr3:uid="{00000000-0010-0000-0A00-000003000000}" name="Tea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Them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Them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F6CBD"/>
    <pageSetUpPr fitToPage="1"/>
  </sheetPr>
  <dimension ref="A1:U32"/>
  <sheetViews>
    <sheetView showGridLines="0"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/>
    </sheetView>
  </sheetViews>
  <sheetFormatPr baseColWidth="10" defaultColWidth="9" defaultRowHeight="14" x14ac:dyDescent="0.2"/>
  <cols>
    <col min="1" max="1" width="26.796875" style="1" customWidth="1"/>
    <col min="2" max="2" width="14.796875" style="2" customWidth="1"/>
    <col min="3" max="3" width="9.796875" style="2" customWidth="1"/>
    <col min="4" max="4" width="12.796875" style="3" customWidth="1"/>
    <col min="5" max="5" width="3.796875" style="4" customWidth="1"/>
    <col min="6" max="6" width="9.796875" style="1" customWidth="1"/>
    <col min="7" max="7" width="26.796875" style="2" customWidth="1"/>
    <col min="8" max="8" width="10.796875" style="2" customWidth="1"/>
    <col min="9" max="9" width="9.796875" style="2" customWidth="1"/>
    <col min="10" max="10" width="12.796875" style="3" customWidth="1"/>
    <col min="11" max="11" width="20.796875" style="2" customWidth="1"/>
    <col min="12" max="12" width="3.796875" style="4" customWidth="1"/>
    <col min="13" max="13" width="28.796875" style="1" customWidth="1"/>
    <col min="14" max="14" width="12.796875" style="3" customWidth="1"/>
    <col min="15" max="15" width="16.796875" style="2" customWidth="1"/>
    <col min="16" max="16" width="3.796875" style="4" customWidth="1"/>
    <col min="17" max="17" width="24.796875" style="1" customWidth="1"/>
    <col min="18" max="19" width="9.796875" style="2" customWidth="1"/>
    <col min="20" max="20" width="12.796875" style="3" customWidth="1"/>
    <col min="21" max="21" width="16.796875" style="2" customWidth="1"/>
  </cols>
  <sheetData>
    <row r="1" spans="1:21" ht="26" customHeight="1" x14ac:dyDescent="0.2">
      <c r="A1" s="5" t="s">
        <v>14</v>
      </c>
      <c r="B1" s="5"/>
      <c r="C1" s="5"/>
      <c r="D1" s="6" t="str">
        <f>IF(Calc!$AK$2&gt;5,"Showing 5 of "&amp;Calc!$AK$2,"")</f>
        <v/>
      </c>
      <c r="F1" s="5" t="s">
        <v>15</v>
      </c>
      <c r="G1" s="5"/>
      <c r="H1" s="5"/>
      <c r="I1" s="5"/>
      <c r="J1" s="5"/>
      <c r="K1" s="6" t="str">
        <f>IF(Calc!$AK$3&gt;5,"Showing 5 of "&amp;Calc!$AK$3,"")</f>
        <v/>
      </c>
      <c r="M1" s="5" t="s">
        <v>16</v>
      </c>
      <c r="N1" s="5"/>
      <c r="O1" s="6" t="str">
        <f ca="1">IF(Calc!$AK$4&gt;5,"Showing 5 of "&amp;Calc!$AK$4,"")</f>
        <v/>
      </c>
      <c r="Q1" s="5" t="s">
        <v>17</v>
      </c>
      <c r="R1" s="5"/>
      <c r="S1" s="5"/>
      <c r="T1" s="5"/>
      <c r="U1" s="6" t="str">
        <f ca="1">IF(Calc!$AK$5&gt;5,"Showing 5 of "&amp;Calc!$AK$5,"")</f>
        <v/>
      </c>
    </row>
    <row r="2" spans="1:21" ht="30" customHeight="1" x14ac:dyDescent="0.2">
      <c r="A2" s="7" t="s">
        <v>0</v>
      </c>
      <c r="B2" s="7" t="s">
        <v>1</v>
      </c>
      <c r="C2" s="7" t="s">
        <v>2</v>
      </c>
      <c r="D2" s="7" t="s">
        <v>3</v>
      </c>
      <c r="F2" s="7" t="s">
        <v>4</v>
      </c>
      <c r="G2" s="7" t="s">
        <v>5</v>
      </c>
      <c r="H2" s="7" t="s">
        <v>6</v>
      </c>
      <c r="I2" s="7" t="s">
        <v>2</v>
      </c>
      <c r="J2" s="7" t="s">
        <v>7</v>
      </c>
      <c r="K2" s="7" t="s">
        <v>8</v>
      </c>
      <c r="M2" s="7" t="s">
        <v>9</v>
      </c>
      <c r="N2" s="7" t="s">
        <v>10</v>
      </c>
      <c r="O2" s="7" t="s">
        <v>11</v>
      </c>
      <c r="Q2" s="7" t="s">
        <v>12</v>
      </c>
      <c r="R2" s="7" t="s">
        <v>4</v>
      </c>
      <c r="S2" s="7" t="s">
        <v>2</v>
      </c>
      <c r="T2" s="7" t="s">
        <v>13</v>
      </c>
      <c r="U2" s="7" t="s">
        <v>11</v>
      </c>
    </row>
    <row r="3" spans="1:21" ht="48" customHeight="1" x14ac:dyDescent="0.2">
      <c r="A3" s="1" t="str" cm="1">
        <f t="array" ref="A3:E3">_xlfn.LET(_xlpm.directblocked,LOOKUP(2,1/(dvDeliveryHealth&lt;&gt;""),dvDeliveryHealth),_xlpm.pred,(tblItems[ID]&lt;&gt;"")*(tblItems[Level]&gt;=1)*(((tblItems[Level]&lt;=cfgExecutiveStatusMaxLevel)+(tblItems[Delivery Health]=_xlpm.directblocked))&gt;0)*(1-ISNUMBER(_xlfn.XMATCH(tblItems[Status],lstDoneStatus)))*(1-ISNUMBER(_xlfn.XMATCH(tblItems[Status],lstCancelledStatus))),_xlpm.ids,_xlfn._xlws.FILTER(tblItems[ID],_xlpm.pred,""),_xlpm.lv,_xlfn._xlws.FILTER(tblItems[Level],_xlpm.pred,0),_xlpm.typ,_xlfn._xlws.FILTER(tblItems[Type],_xlpm.pred,""),_xlpm.ttl,_xlfn._xlws.FILTER(tblItems[Title],_xlpm.pred,""),_xlpm.own,_xlfn._xlws.FILTER(tblItems[Owner],_xlpm.pred,""),_xlpm.dhealth,_xlfn._xlws.FILTER(IF(tblItems[Delivery Health]="","Not set",tblItems[Delivery Health]),_xlpm.pred,""),_xlpm.hrank,_xlfn.IFNA(_xlfn.XMATCH(_xlpm.dhealth,dvDeliveryHealth),0),_xlpm.due,_xlfn._xlws.FILTER(tblItems[Due],_xlpm.pred,0),_xlpm.wk,_xlfn._xlws.FILTER(tblItems[WbsKey],_xlpm.pred,""),_xlpm.t,_xlfn.HSTACK(REPT("› ",IF(_xlpm.lv&gt;1,_xlpm.lv-1,0))&amp;_xlpm.ids&amp;" · "&amp;_xlpm.typ&amp;" · "&amp;_xlpm.ttl,_xlpm.dhealth,IF(_xlpm.own="","Owner not set",_xlpm.own),IF(_xlpm.due=0,"Due date not set",TEXT(_xlpm.due,"d mmm yyyy")),_xlpm.due),_xlpm.empty,AND(ROWS(_xlpm.ids)=1,INDEX(_xlpm.ids,1)=""),IF(_xlpm.empty,_xlfn.HSTACK("No open items at configured levels.","","","",""),_xlfn.LET(_xlpm.s,_xlfn.SORTBY(_xlpm.t,_xlpm.hrank,-1,_xlpm.lv,1,_xlpm.wk,1),IF(ROWS(_xlpm.s)&lt;=5,_xlpm.s,_xlfn._xlws.FILTER(_xlpm.s,_xlfn.SEQUENCE(ROWS(_xlpm.s))&lt;=5,"")))))</f>
        <v>I-1001 · Project · Example Project</v>
      </c>
      <c r="B3" s="2" t="str">
        <v>At risk</v>
      </c>
      <c r="C3" s="2" t="str">
        <v>Max</v>
      </c>
      <c r="D3" s="3" t="str">
        <v>30 Oct 2026</v>
      </c>
      <c r="E3" s="4">
        <v>46325</v>
      </c>
      <c r="F3" s="1" t="str" cm="1">
        <f t="array" ref="F3:L3">_xlfn.LET(_xlpm.pred,(tblRAID[Title]&lt;&gt;"")*(1-ISNUMBER(_xlfn.XMATCH(tblRAID[Status],lstClosedRaid)))*ISNUMBER(_xlfn.XMATCH(tblRAID[Type],lstAlertRaid))*(tblRAID[Score]&lt;&gt;"")*(tblRAID[Score]&gt;=cfgAlertSevScore),_xlpm.t,_xlfn._xlws.FILTER(_xlfn.HSTACK(tblRAID[Type],tblRAID[Title],IF(tblRAID[Severity]="","Not set",tblRAID[Severity]),IF(tblRAID[Owner]="","Owner not set",tblRAID[Owner]),IF(tblRAID[NextReview]="","Review date not set",TEXT(tblRAID[NextReview],"d mmm yyyy")),IF(tblRAID[Response]="","No response recorded",IF(LEN(tblRAID[Response])&gt;72,LEFT(tblRAID[Response],69)&amp;"…",tblRAID[Response])),tblRAID[NextReview]),_xlpm.pred,""),_xlpm.rk,_xlfn._xlws.FILTER(tblRAID[Score],_xlpm.pred,0),_xlpm.dk,_xlfn._xlws.FILTER(IF(tblRAID[NextReview]="",DATE(9999,12,31),tblRAID[NextReview]),_xlpm.pred,DATE(9999,12,31)),_xlpm.empty,AND(ROWS(_xlpm.t)*COLUMNS(_xlpm.t)=1,INDEX(_xlpm.t,1,1)=""),IF(_xlpm.empty,_xlfn.HSTACK("—","No high-severity open RAID.","","","","",""),_xlfn.LET(_xlpm.s,_xlfn.SORTBY(_xlpm.t,_xlpm.rk,-1,_xlpm.dk,1),IF(ROWS(_xlpm.s)&lt;=5,_xlpm.s,_xlfn._xlws.FILTER(_xlpm.s,_xlfn.SEQUENCE(ROWS(_xlpm.s))&lt;=5,"")))))</f>
        <v>Risk</v>
      </c>
      <c r="G3" s="2" t="str">
        <v>Example risk — EXAMPLE — delete this row</v>
      </c>
      <c r="H3" s="2" t="str">
        <v>High</v>
      </c>
      <c r="I3" s="2" t="str">
        <v>Max</v>
      </c>
      <c r="J3" s="3" t="str">
        <v>20 Jul 2026</v>
      </c>
      <c r="K3" s="2" t="str">
        <v>Mitigate: weekly checkpoint with supplier</v>
      </c>
      <c r="L3" s="4">
        <v>46223</v>
      </c>
      <c r="M3" s="1" t="str" cm="1">
        <f t="array" aca="1" ref="M3:P4" ca="1">_xlfn.LET(_xlpm.ip,(tblItems[IsPoint]=TRUE)*(tblItems[Level]&gt;=2)*(tblItems[Level]&lt;=cfgKeyDateMaxLevel)*(tblItems[Due]&lt;&gt;"")*(tblItems[Due]&gt;=TODAY())*(1-ISNUMBER(_xlfn.XMATCH(tblItems[Status],lstDoneStatus)))*(1-ISNUMBER(_xlfn.XMATCH(tblItems[Status],lstCancelledStatus))),_xlpm.it,_xlfn._xlws.FILTER(_xlfn.HSTACK(tblItems[Type]&amp;" · "&amp;tblItems[Title],TEXT(tblItems[Due],"d mmm yyyy"),IF(tblItems[Scope]="","Unscoped",_xlfn.XLOOKUP(tblItems[Scope],tblItems[ID],tblItems[Title],"Unscoped")),tblItems[Due]),_xlpm.ip,""),_xlpm.ik,_xlfn._xlws.FILTER(tblItems[Due],_xlpm.ip,0),_xlpm.ie,AND(ROWS(_xlpm.it)*COLUMNS(_xlpm.it)=1,INDEX(_xlpm.it,1,1)=""),_xlpm.dp,(tblRAID[Title]&lt;&gt;"")*(1-ISNUMBER(_xlfn.XMATCH(tblRAID[Status],lstClosedRaid)))*ISNUMBER(_xlfn.XMATCH(tblRAID[Type],lstDecisionRaid))*(tblRAID[NextReview]&lt;&gt;"")*(tblRAID[NextReview]&gt;=TODAY()),_xlpm.dt,_xlfn._xlws.FILTER(_xlfn.HSTACK(tblRAID[Type]&amp;" · "&amp;tblRAID[Title],TEXT(tblRAID[NextReview],"d mmm yyyy"),IF(tblRAID[Scope]="","Unscoped",_xlfn.XLOOKUP(tblRAID[Scope],tblItems[ID],tblItems[Title],"Unscoped")),tblRAID[NextReview]),_xlpm.dp,""),_xlpm.dk,_xlfn._xlws.FILTER(tblRAID[NextReview],_xlpm.dp,0),_xlpm.de,AND(ROWS(_xlpm.dt)*COLUMNS(_xlpm.dt)=1,INDEX(_xlpm.dt,1,1)=""),_xlpm.t,IF(_xlpm.ie,_xlpm.dt,IF(_xlpm.de,_xlpm.it,_xlfn.VSTACK(_xlpm.it,_xlpm.dt))),_xlpm.k,IF(_xlpm.ie,_xlpm.dk,IF(_xlpm.de,_xlpm.ik,_xlfn.VSTACK(_xlpm.ik,_xlpm.dk))),IF(AND(_xlpm.ie,_xlpm.de),_xlfn.HSTACK("No upcoming milestones, decisions or deadlines.","","",""),_xlfn.LET(_xlpm.s,_xlfn.SORTBY(_xlpm.t,_xlpm.k,1),IF(ROWS(_xlpm.s)&lt;=5,_xlpm.s,_xlfn._xlws.FILTER(_xlpm.s,_xlfn.SEQUENCE(ROWS(_xlpm.s))&lt;=5,"")))))</f>
        <v>Decision · Approve example launch scope</v>
      </c>
      <c r="N3" s="3" t="str">
        <f ca="1"/>
        <v>15 Jul 2026</v>
      </c>
      <c r="O3" s="2" t="str">
        <f ca="1"/>
        <v>Example Project</v>
      </c>
      <c r="P3" s="4">
        <f ca="1"/>
        <v>46218</v>
      </c>
      <c r="Q3" s="1" t="str" cm="1">
        <f t="array" aca="1" ref="Q3:U3" ca="1">_xlfn.LET(_xlpm.pred,(tblItems[ID]&lt;&gt;"")*(tblItems[DoneDate]&lt;&gt;"")*(tblItems[DoneDate]&gt;=TODAY()-cfgReportDays)*(1-ISNUMBER(_xlfn.XMATCH(tblItems[Status],lstCancelledStatus))),_xlpm.t,_xlfn._xlws.FILTER(_xlfn.HSTACK(tblItems[Title],tblItems[Type],IF(tblItems[Owner]="","Owner not set",tblItems[Owner]),TEXT(tblItems[DoneDate],"d mmm yyyy"),IF(tblItems[Scope]="","Unscoped",_xlfn.XLOOKUP(tblItems[Scope],tblItems[ID],tblItems[Title],"Unscoped"))),_xlpm.pred,""),_xlpm.tk,_xlfn._xlws.FILTER(IF(tblItems[Level]=0,9,tblItems[Level]),_xlpm.pred,9),_xlpm.pk,_xlfn._xlws.FILTER(_xlfn.IFNA(_xlfn.XMATCH(tblItems[Priority],dvPriorities),99),_xlpm.pred,99),_xlpm.dk,_xlfn._xlws.FILTER(tblItems[DoneDate],_xlpm.pred,0),_xlpm.empty,AND(ROWS(_xlpm.t)*COLUMNS(_xlpm.t)=1,INDEX(_xlpm.t,1,1)=""),IF(_xlpm.empty,_xlfn.HSTACK("No dated completions in this period.","","","",""),_xlfn.LET(_xlpm.s,_xlfn.SORTBY(_xlpm.t,_xlpm.tk,1,_xlpm.pk,1,_xlpm.dk,-1),IF(ROWS(_xlpm.s)&lt;=5,_xlpm.s,_xlfn._xlws.FILTER(_xlpm.s,_xlfn.SEQUENCE(ROWS(_xlpm.s))&lt;=5,"")))))</f>
        <v>Example completed deliverable</v>
      </c>
      <c r="R3" s="2" t="str">
        <f ca="1"/>
        <v>Task</v>
      </c>
      <c r="S3" s="2" t="str">
        <f ca="1"/>
        <v>Max</v>
      </c>
      <c r="T3" s="3" t="str">
        <f ca="1"/>
        <v>3 Jul 2026</v>
      </c>
      <c r="U3" s="2" t="str">
        <f ca="1"/>
        <v>Example Project</v>
      </c>
    </row>
    <row r="4" spans="1:21" ht="48" customHeight="1" x14ac:dyDescent="0.2">
      <c r="M4" s="1" t="str">
        <f ca="1"/>
        <v>Release · Example release</v>
      </c>
      <c r="N4" s="3" t="str">
        <f ca="1"/>
        <v>20 Jul 2026</v>
      </c>
      <c r="O4" s="2" t="str">
        <f ca="1"/>
        <v>Example Project</v>
      </c>
      <c r="P4" s="4">
        <f ca="1"/>
        <v>46223</v>
      </c>
    </row>
    <row r="5" spans="1:21" ht="48" customHeight="1" x14ac:dyDescent="0.2"/>
    <row r="6" spans="1:21" ht="48" customHeight="1" x14ac:dyDescent="0.2"/>
    <row r="7" spans="1:21" ht="48" customHeight="1" x14ac:dyDescent="0.2"/>
    <row r="32" ht="30" customHeight="1" x14ac:dyDescent="0.2"/>
  </sheetData>
  <sheetProtection sheet="1" objects="1" scenarios="1"/>
  <conditionalFormatting sqref="B3:B7">
    <cfRule type="expression" dxfId="213" priority="1" stopIfTrue="1">
      <formula>AND($B3&lt;&gt;"",COUNTIF(dvDeliveryHealth,$B3)&gt;0,MATCH($B3,dvDeliveryHealth,0)&gt;=3)</formula>
    </cfRule>
    <cfRule type="expression" dxfId="212" priority="2" stopIfTrue="1">
      <formula>AND($B3&lt;&gt;"",$B3=INDEX(dvDeliveryHealth,1))</formula>
    </cfRule>
    <cfRule type="expression" dxfId="211" priority="3" stopIfTrue="1">
      <formula>AND($B3&lt;&gt;"",$B3=INDEX(dvDeliveryHealth,2))</formula>
    </cfRule>
  </conditionalFormatting>
  <conditionalFormatting sqref="D3:D7">
    <cfRule type="expression" dxfId="210" priority="7" stopIfTrue="1">
      <formula>AND(ISNUMBER($E3),$E3&gt;0,$E3&lt;TODAY())</formula>
    </cfRule>
    <cfRule type="expression" dxfId="209" priority="8" stopIfTrue="1">
      <formula>AND(ISNUMBER($E3),$E3&gt;=TODAY(),$E3&lt;=TODAY()+cfgComingNearDays)</formula>
    </cfRule>
  </conditionalFormatting>
  <conditionalFormatting sqref="H3:H7">
    <cfRule type="expression" dxfId="208" priority="4" stopIfTrue="1">
      <formula>AND(COUNTA(dvSeverity)&gt;=2,$H3&lt;&gt;"",COUNTIF(dvSeverity,$H3)&gt;0,MATCH($H3,dvSeverity,0)&gt;=MAX(2,COUNTA(dvSeverity)-1))</formula>
    </cfRule>
    <cfRule type="expression" dxfId="207" priority="5" stopIfTrue="1">
      <formula>AND($H3&lt;&gt;"",$H3=INDEX(dvSeverity,1))</formula>
    </cfRule>
    <cfRule type="expression" dxfId="206" priority="6" stopIfTrue="1">
      <formula>AND($H3&lt;&gt;"",COUNTIF(dvSeverity,$H3)&gt;0,$H3&lt;&gt;INDEX(dvSeverity,1),NOT(AND(COUNTA(dvSeverity)&gt;=2,MATCH($H3,dvSeverity,0)&gt;=MAX(2,COUNTA(dvSeverity)-1))))</formula>
    </cfRule>
  </conditionalFormatting>
  <conditionalFormatting sqref="J3:J7">
    <cfRule type="expression" dxfId="205" priority="9" stopIfTrue="1">
      <formula>AND(ISNUMBER($L3),$L3&gt;0,$L3&lt;TODAY())</formula>
    </cfRule>
    <cfRule type="expression" dxfId="204" priority="10" stopIfTrue="1">
      <formula>AND($G3&lt;&gt;"",OR($L3="",$L3=0))</formula>
    </cfRule>
    <cfRule type="expression" dxfId="203" priority="11" stopIfTrue="1">
      <formula>AND(ISNUMBER($L3),$L3&gt;=TODAY(),$L3&lt;=TODAY()+cfgComingSoonDays)</formula>
    </cfRule>
  </conditionalFormatting>
  <conditionalFormatting sqref="N3:N7">
    <cfRule type="expression" dxfId="202" priority="12" stopIfTrue="1">
      <formula>AND(ISNUMBER($P3),$P3&gt;=TODAY(),$P3&lt;=TODAY()+cfgComingUrgentDays)</formula>
    </cfRule>
    <cfRule type="expression" dxfId="201" priority="13" stopIfTrue="1">
      <formula>AND(ISNUMBER($P3),$P3&gt;TODAY()+cfgComingUrgentDays,$P3&lt;=TODAY()+cfgComingSoonDays)</formula>
    </cfRule>
    <cfRule type="expression" dxfId="200" priority="14" stopIfTrue="1">
      <formula>AND(ISNUMBER($P3),$P3&gt;TODAY()+cfgComingSoonDays,$P3&lt;=TODAY()+cfgComingNearDays)</formula>
    </cfRule>
    <cfRule type="expression" dxfId="199" priority="15" stopIfTrue="1">
      <formula>AND(ISNUMBER($P3),$P3&gt;TODAY()+cfgComingNearDays,$P3&lt;=TODAY()+cfgComingHorizonDays)</formula>
    </cfRule>
  </conditionalFormatting>
  <printOptions horizontalCentered="1"/>
  <pageMargins left="0.25" right="0.25" top="0.35" bottom="0.35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F6CBD"/>
    <pageSetUpPr fitToPage="1"/>
  </sheetPr>
  <dimension ref="A1:BI9"/>
  <sheetViews>
    <sheetView showGridLines="0"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baseColWidth="10" defaultColWidth="9" defaultRowHeight="24" customHeight="1" x14ac:dyDescent="0.2"/>
  <cols>
    <col min="1" max="1" width="10.796875" style="8" customWidth="1"/>
    <col min="2" max="2" width="44.796875" style="8" customWidth="1"/>
    <col min="3" max="3" width="11.796875" style="8" customWidth="1"/>
    <col min="4" max="5" width="12.796875" style="9" customWidth="1"/>
    <col min="6" max="57" width="4.19921875" style="10" customWidth="1"/>
    <col min="59" max="61" width="14.796875" style="11" hidden="1" customWidth="1"/>
  </cols>
  <sheetData>
    <row r="1" spans="1:61" ht="32" customHeight="1" x14ac:dyDescent="0.2">
      <c r="A1" s="42" t="s">
        <v>18</v>
      </c>
      <c r="B1" s="42"/>
      <c r="C1" s="42"/>
      <c r="D1" s="43" t="str">
        <f ca="1">"As of "&amp;TEXT(TODAY(),"d mmm yyyy")</f>
        <v>As of 15 Jul 2026</v>
      </c>
      <c r="E1" s="43"/>
      <c r="F1" s="44" t="s">
        <v>23</v>
      </c>
      <c r="G1" s="44"/>
      <c r="H1" s="44"/>
      <c r="I1" s="44"/>
      <c r="J1" s="45" t="s">
        <v>24</v>
      </c>
      <c r="K1" s="45"/>
      <c r="L1" s="45"/>
      <c r="M1" s="45"/>
      <c r="N1" s="45"/>
      <c r="O1" s="46" t="s">
        <v>25</v>
      </c>
      <c r="P1" s="46"/>
      <c r="Q1" s="46"/>
      <c r="R1" s="46"/>
      <c r="S1" s="47" t="s">
        <v>26</v>
      </c>
      <c r="T1" s="47"/>
      <c r="U1" s="47"/>
      <c r="V1" s="47"/>
      <c r="W1" s="48" t="s">
        <v>27</v>
      </c>
      <c r="X1" s="48"/>
      <c r="Y1" s="48"/>
      <c r="Z1" s="48"/>
      <c r="AA1" s="49" t="s">
        <v>28</v>
      </c>
      <c r="AB1" s="49"/>
      <c r="AC1" s="49"/>
      <c r="AD1" s="49"/>
      <c r="AE1" s="49"/>
      <c r="AF1" s="50" t="s">
        <v>29</v>
      </c>
      <c r="AG1" s="50"/>
      <c r="AH1" s="50"/>
      <c r="AI1" s="50"/>
    </row>
    <row r="2" spans="1:61" ht="30" customHeight="1" x14ac:dyDescent="0.2">
      <c r="A2" s="12" t="s">
        <v>11</v>
      </c>
      <c r="B2" s="13" t="s">
        <v>19</v>
      </c>
      <c r="C2" s="13"/>
      <c r="D2" s="12" t="s">
        <v>21</v>
      </c>
      <c r="E2" s="14"/>
      <c r="F2" s="51" t="str">
        <f ca="1">BG3</f>
        <v/>
      </c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BG2" s="11" t="str">
        <f>IF(OR(B2="",B2="All"),"All",LEFT(B2,FIND(" · ",B2)-1))</f>
        <v>All</v>
      </c>
      <c r="BH2" s="11" t="str">
        <f>IFERROR(IF(C2="","(unused)",IF(C2="All","All",LEFT(C2,FIND(" · ",C2)-1))),"(unused)")</f>
        <v>(unused)</v>
      </c>
      <c r="BI2" s="11" t="str">
        <f>IFERROR(IF(C3="","(unused)",IF(C3="All","All",LEFT(C3,FIND(" · ",C3)-1))),"(unused)")</f>
        <v>(unused)</v>
      </c>
    </row>
    <row r="3" spans="1:61" ht="24" customHeight="1" x14ac:dyDescent="0.2">
      <c r="A3" s="12" t="s">
        <v>20</v>
      </c>
      <c r="B3" s="15">
        <v>6</v>
      </c>
      <c r="C3" s="13"/>
      <c r="D3" s="12" t="s">
        <v>22</v>
      </c>
      <c r="E3" s="14"/>
      <c r="BG3" s="11" t="str" cm="1">
        <f t="array" aca="1" ref="BG3" ca="1">_xlfn.LET(_xlpm.scopeBad,OR(AND(selPScope&lt;&gt;"",selPScope&lt;&gt;"All",COUNTIF(dvScopeLabels,selPScope)=0),AND(selPScope2&lt;&gt;"",selPScope2&lt;&gt;"All",COUNTIF(dvScopeLabels,selPScope2)=0),AND(selPScope3&lt;&gt;"",selPScope3&lt;&gt;"All",COUNTIF(dvScopeLabels,selPScope3)=0)),_xlpm.depthBad,AND(selPDepth&lt;&gt;"",OR(NOT(ISNUMBER(selPDepth)),selPDepth&lt;1,selPDepth&gt;6,INT(selPDepth)&lt;&gt;selPDepth)),_xlpm.fromBad,AND(selPFrom&lt;&gt;"",OR(NOT(ISNUMBER(selPFrom)),selPFrom&lt;DATE(2020,1,1))),_xlpm.toBad,AND(selPTo&lt;&gt;"",OR(NOT(ISNUMBER(selPTo)),selPTo&lt;DATE(2020,1,1))),_xlpm.orderBad,AND(ISNUMBER(selPFrom),ISNUMBER(selPTo),selPFrom&gt;selPTo),_xlpm.dp,IF(_xlpm.depthBad,6,IF(selPDepth="",6,VALUE(selPDepth))),_xlpm.scopeID,IF(_xlpm.scopeBad,"All",IF(OR(selPScope="",selPScope="All"),"All",selPScopeID)),_xlpm.scope2ID,IF(_xlpm.scopeBad,"(unused)",selPScopeID2),_xlpm.scope3ID,IF(_xlpm.scopeBad,"(unused)",selPScopeID3),_xlpm.rowsok,(tblItems[ID]&lt;&gt;"")*(((_xlpm.scopeID="All")+(_xlpm.scope2ID="All")+(_xlpm.scope3ID="All")+(tblItems[Scope]=_xlpm.scopeID)+(tblItems[Scope]=_xlpm.scope2ID)+(tblItems[Scope]=_xlpm.scope3ID))&gt;0)*(tblItems[Level]&lt;=_xlpm.dp),_xlpm.eligible,SUMPRODUCT(_xlpm.rowsok),_xlpm.ids,_xlfn._xlws.FILTER(tblItems[ID],_xlpm.rowsok,""),_xlpm.big,DATE(9999,12,31),_xlpm.es0,_xlfn.XLOOKUP(_xlpm.ids,tblItems[ID],tblItems[Start],""),_xlpm.du0,_xlfn.XLOOKUP(_xlpm.ids,tblItems[ID],tblItems[Due],""),_xlpm.starts,IF((_xlpm.es0="")+(_xlpm.es0=0),IF((_xlpm.du0="")+(_xlpm.du0=0),_xlpm.big,_xlpm.du0),_xlpm.es0),_xlpm.ends,IF((_xlpm.du0="")+(_xlpm.du0=0),IF((_xlpm.es0="")+(_xlpm.es0=0),0,_xlpm.es0),_xlpm.du0),_xlpm.lo0,MIN(_xlpm.starts),_xlpm.hi0,MAX(_xlpm.ends),_xlpm.lo,IF(_xlpm.fromBad,IF(_xlpm.lo0&gt;=_xlpm.big,TODAY()-28,_xlpm.lo0-7),IF(selPFrom&lt;&gt;"",selPFrom,IF(_xlpm.lo0&gt;=_xlpm.big,TODAY()-28,_xlpm.lo0-7))),_xlpm.hi,IF(_xlpm.toBad,IF(_xlpm.hi0=0,TODAY()+56,_xlpm.hi0+7),IF(selPTo&lt;&gt;"",selPTo,IF(_xlpm.hi0=0,TODAY()+56,_xlpm.hi0+7))),_xlpm.a,_xlpm.lo-WEEKDAY(_xlpm.lo,3),_xlpm.span,ROUNDUP((_xlpm.hi-_xlpm.a+1)/7,0),_xlpm.n,SUMPRODUCT(_xlpm.rowsok*(1-(tblItems[IsPoint]=TRUE))*(1-((tblItems[Start]&lt;&gt;"")*(tblItems[Due]&lt;&gt;"")))),IF(_xlpm.scopeBad,"⚠ Scope is not in the Config-driven list",IF(_xlpm.depthBad,"⚠ Depth must be a whole number from 1 to 6",IF(OR(_xlpm.fromBad,_xlpm.toBad),"⚠ From/To must be real dates from 2020 onwards",IF(_xlpm.orderBad,"⚠ From is after To — correct the reporting window",IF(_xlpm.eligible&gt;2000,"⚠ "&amp;_xlpm.eligible-2000&amp;" items exceed the supported Plan capacity",IF(_xlpm.span&gt;52,"⚠ The requested schedule spans "&amp;_xlpm.span&amp;" weeks; Plan shows the first 52",IF(_xlpm.n=0,"","⚠ "&amp;_xlpm.n&amp;IF(_xlpm.n=1," item has"," items have")&amp;" incomplete schedule dates — shown without a timeline mark; add Start+Due, or Due only for a key date"))))))))</f>
        <v/>
      </c>
    </row>
    <row r="4" spans="1:61" s="16" customFormat="1" ht="20" customHeight="1" x14ac:dyDescent="0.2">
      <c r="F4" s="16" t="str" cm="1">
        <f t="array" aca="1" ref="F4:AA4" ca="1">_xlfn.LET(_xlpm.wk,_xlfn.ANCHORARRAY(F5),_xlpm.s,_xlfn.SEQUENCE(1,COLUMNS(_xlpm.wk)),IF((_xlpm.s=1)+(MONTH(_xlpm.wk)&lt;&gt;MONTH(_xlpm.wk-7)),TEXT(_xlpm.wk,"mmm"),""))</f>
        <v>Jun</v>
      </c>
      <c r="G4" s="16" t="str">
        <f ca="1"/>
        <v/>
      </c>
      <c r="H4" s="16" t="str">
        <f ca="1"/>
        <v/>
      </c>
      <c r="I4" s="16" t="str">
        <f ca="1"/>
        <v/>
      </c>
      <c r="J4" s="16" t="str">
        <f ca="1"/>
        <v>Jul</v>
      </c>
      <c r="K4" s="16" t="str">
        <f ca="1"/>
        <v/>
      </c>
      <c r="L4" s="16" t="str">
        <f ca="1"/>
        <v/>
      </c>
      <c r="M4" s="16" t="str">
        <f ca="1"/>
        <v/>
      </c>
      <c r="N4" s="16" t="str">
        <f ca="1"/>
        <v>Aug</v>
      </c>
      <c r="O4" s="16" t="str">
        <f ca="1"/>
        <v/>
      </c>
      <c r="P4" s="16" t="str">
        <f ca="1"/>
        <v/>
      </c>
      <c r="Q4" s="16" t="str">
        <f ca="1"/>
        <v/>
      </c>
      <c r="R4" s="16" t="str">
        <f ca="1"/>
        <v/>
      </c>
      <c r="S4" s="16" t="str">
        <f ca="1"/>
        <v>Sep</v>
      </c>
      <c r="T4" s="16" t="str">
        <f ca="1"/>
        <v/>
      </c>
      <c r="U4" s="16" t="str">
        <f ca="1"/>
        <v/>
      </c>
      <c r="V4" s="16" t="str">
        <f ca="1"/>
        <v/>
      </c>
      <c r="W4" s="16" t="str">
        <f ca="1"/>
        <v>Oct</v>
      </c>
      <c r="X4" s="16" t="str">
        <f ca="1"/>
        <v/>
      </c>
      <c r="Y4" s="16" t="str">
        <f ca="1"/>
        <v/>
      </c>
      <c r="Z4" s="16" t="str">
        <f ca="1"/>
        <v/>
      </c>
      <c r="AA4" s="16" t="str">
        <f ca="1"/>
        <v>Nov</v>
      </c>
    </row>
    <row r="5" spans="1:61" s="17" customFormat="1" ht="22" customHeight="1" x14ac:dyDescent="0.2">
      <c r="A5" s="18" t="s">
        <v>30</v>
      </c>
      <c r="B5" s="18" t="s">
        <v>0</v>
      </c>
      <c r="C5" s="18" t="s">
        <v>2</v>
      </c>
      <c r="D5" s="18" t="s">
        <v>31</v>
      </c>
      <c r="E5" s="18" t="s">
        <v>3</v>
      </c>
      <c r="F5" s="17" cm="1">
        <f t="array" aca="1" ref="F5:AA5" ca="1">_xlfn.LET(_xlpm.ids,_xlfn.ANCHORARRAY(A6),_xlpm.big,DATE(9999,12,31),_xlpm.es0,_xlfn.XLOOKUP(_xlpm.ids,tblItems[ID],tblItems[Start],""),_xlpm.du0,_xlfn.XLOOKUP(_xlpm.ids,tblItems[ID],tblItems[Due],""),_xlpm.starts,IF((_xlpm.es0="")+(_xlpm.es0=0),IF((_xlpm.du0="")+(_xlpm.du0=0),_xlpm.big,_xlpm.du0),_xlpm.es0),_xlpm.ends,IF((_xlpm.du0="")+(_xlpm.du0=0),IF((_xlpm.es0="")+(_xlpm.es0=0),0,_xlpm.es0),_xlpm.du0),_xlpm.lo0,MIN(_xlpm.starts),_xlpm.hi0,MAX(_xlpm.ends),_xlpm.lo,IF(selPFrom&lt;&gt;"",selPFrom,IF(_xlpm.lo0&gt;=_xlpm.big,TODAY()-28,_xlpm.lo0-7)),_xlpm.hi,IF(selPTo&lt;&gt;"",selPTo,IF(_xlpm.hi0=0,TODAY()+56,_xlpm.hi0+7)),_xlpm.a,_xlpm.lo-WEEKDAY(_xlpm.lo,3),_xlpm.n,MAX(4,MIN(52,ROUNDUP((_xlpm.hi-_xlpm.a+1)/7,0))),_xlfn.SEQUENCE(1,_xlpm.n,_xlpm.a,7))</f>
        <v>46181</v>
      </c>
      <c r="G5" s="17">
        <f ca="1"/>
        <v>46188</v>
      </c>
      <c r="H5" s="17">
        <f ca="1"/>
        <v>46195</v>
      </c>
      <c r="I5" s="17">
        <f ca="1"/>
        <v>46202</v>
      </c>
      <c r="J5" s="17">
        <f ca="1"/>
        <v>46209</v>
      </c>
      <c r="K5" s="17">
        <f ca="1"/>
        <v>46216</v>
      </c>
      <c r="L5" s="17">
        <f ca="1"/>
        <v>46223</v>
      </c>
      <c r="M5" s="17">
        <f ca="1"/>
        <v>46230</v>
      </c>
      <c r="N5" s="17">
        <f ca="1"/>
        <v>46237</v>
      </c>
      <c r="O5" s="17">
        <f ca="1"/>
        <v>46244</v>
      </c>
      <c r="P5" s="17">
        <f ca="1"/>
        <v>46251</v>
      </c>
      <c r="Q5" s="17">
        <f ca="1"/>
        <v>46258</v>
      </c>
      <c r="R5" s="17">
        <f ca="1"/>
        <v>46265</v>
      </c>
      <c r="S5" s="17">
        <f ca="1"/>
        <v>46272</v>
      </c>
      <c r="T5" s="17">
        <f ca="1"/>
        <v>46279</v>
      </c>
      <c r="U5" s="17">
        <f ca="1"/>
        <v>46286</v>
      </c>
      <c r="V5" s="17">
        <f ca="1"/>
        <v>46293</v>
      </c>
      <c r="W5" s="17">
        <f ca="1"/>
        <v>46300</v>
      </c>
      <c r="X5" s="17">
        <f ca="1"/>
        <v>46307</v>
      </c>
      <c r="Y5" s="17">
        <f ca="1"/>
        <v>46314</v>
      </c>
      <c r="Z5" s="17">
        <f ca="1"/>
        <v>46321</v>
      </c>
      <c r="AA5" s="17">
        <f ca="1"/>
        <v>46328</v>
      </c>
    </row>
    <row r="6" spans="1:61" ht="24" customHeight="1" x14ac:dyDescent="0.2">
      <c r="A6" s="8" t="str" cm="1">
        <f t="array" ref="A6:A9">_xlfn.LET(_xlpm.dp,IF(selPDepth="",6,VALUE(selPDepth)),_xlpm.k,_xlfn._xlws.FILTER(tblItems[ID],(tblItems[ID]&lt;&gt;"")*(((selPScopeID="All")+(selPScopeID2="All")+(selPScopeID3="All")+(tblItems[Scope]=selPScopeID)+(tblItems[Scope]=selPScopeID2)+(tblItems[Scope]=selPScopeID3))&gt;0)*(tblItems[Level]&lt;=_xlpm.dp),""),_xlpm.w,_xlfn._xlws.FILTER(tblItems[WbsKey],(tblItems[ID]&lt;&gt;"")*(((selPScopeID="All")+(selPScopeID2="All")+(selPScopeID3="All")+(tblItems[Scope]=selPScopeID)+(tblItems[Scope]=selPScopeID2)+(tblItems[Scope]=selPScopeID3))&gt;0)*(tblItems[Level]&lt;=_xlpm.dp),""),IF(ROWS(_xlpm.k)=1,IF(INDEX(_xlpm.k,1,1)="","— none —",_xlpm.k),_xlfn.LET(_xlpm.s,_xlfn.SORTBY(_xlpm.k,_xlpm.w),_xlfn.TAKE(_xlpm.s,2000))))</f>
        <v>I-1001</v>
      </c>
      <c r="B6" s="8" t="str" cm="1">
        <f t="array" ref="B6:B9">_xlfn.LET(_xlpm.ids,_xlfn.ANCHORARRAY(A6),_xlpm.lv,_xlfn.XLOOKUP(_xlpm.ids,tblItems[ID],tblItems[Level],1),_xlpm.t,fnItemLookup(_xlpm.ids,tblItems[Title]),IF((_xlpm.ids="")+(_xlpm.ids="— none —"),"",REPT("   ",IF(_xlpm.lv&lt;1,0,_xlpm.lv-1))&amp;_xlpm.t))</f>
        <v>Example Project</v>
      </c>
      <c r="C6" s="8" t="str" cm="1">
        <f t="array" ref="C6:C9">IF(_xlfn.ANCHORARRAY(A6)="","",IF(_xlfn.ANCHORARRAY(A6)="— none —","",fnItemLookup(_xlfn.ANCHORARRAY(A6),tblItems[Owner])))</f>
        <v>Max</v>
      </c>
      <c r="D6" s="9" cm="1">
        <f t="array" ref="D6:D9">IF(_xlfn.ANCHORARRAY(A6)="","",IF(_xlfn.ANCHORARRAY(A6)="— none —","",fnItemLookup(_xlfn.ANCHORARRAY(A6),tblItems[Start])))</f>
        <v>46188</v>
      </c>
      <c r="E6" s="9" cm="1">
        <f t="array" ref="E6:E9">IF(_xlfn.ANCHORARRAY(A6)="","",IF(_xlfn.ANCHORARRAY(A6)="— none —","",fnItemLookup(_xlfn.ANCHORARRAY(A6),tblItems[Due])))</f>
        <v>46325</v>
      </c>
      <c r="F6" s="10" t="str" cm="1">
        <f t="array" aca="1" ref="F6:AA9" ca="1">_xlfn.LET(_xlpm.ids,_xlfn.ANCHORARRAY(A6),_xlpm.wk,_xlfn.ANCHORARRAY(F5),_xlpm.ct,_xlfn.ANCHORARRAY(BI6),_xlpm.es0,_xlfn.XLOOKUP(_xlpm.ids,tblItems[ID],tblItems[Start],""),_xlpm.es,IF(_xlpm.es0=0,"",_xlpm.es0),_xlpm.pt,_xlfn.XLOOKUP(_xlpm.ids,tblItems[ID],tblItems[IsPoint],FALSE),_xlpm.du0,_xlfn.XLOOKUP(_xlpm.ids,tblItems[ID],tblItems[Due],""),_xlpm.du,IF(_xlpm.du0=0,"",_xlpm.du0),_xlpm.glyph,IF(_xlpm.ct="D","✓",IF(_xlpm.ct="A","●",IF(_xlpm.ct="O","!",IF(_xlpm.ct="C","×","—")))),IF((_xlpm.ids="")+(_xlpm.ids="— none —"),"",IF(_xlpm.pt=TRUE,IF((_xlpm.du&lt;&gt;"")*(_xlpm.du&gt;=_xlpm.wk)*(_xlpm.du&lt;_xlpm.wk+7),"◆",""),IF((_xlpm.es&lt;&gt;"")*(_xlpm.du&lt;&gt;"")*(_xlpm.wk+6&gt;=_xlpm.es)*(_xlpm.wk&lt;=_xlpm.du),_xlpm.glyph,""))))</f>
        <v/>
      </c>
      <c r="G6" s="10" t="str">
        <f ca="1"/>
        <v>●</v>
      </c>
      <c r="H6" s="10" t="str">
        <f ca="1"/>
        <v>●</v>
      </c>
      <c r="I6" s="10" t="str">
        <f ca="1"/>
        <v>●</v>
      </c>
      <c r="J6" s="10" t="str">
        <f ca="1"/>
        <v>●</v>
      </c>
      <c r="K6" s="10" t="str">
        <f ca="1"/>
        <v>●</v>
      </c>
      <c r="L6" s="10" t="str">
        <f ca="1"/>
        <v>●</v>
      </c>
      <c r="M6" s="10" t="str">
        <f ca="1"/>
        <v>●</v>
      </c>
      <c r="N6" s="10" t="str">
        <f ca="1"/>
        <v>●</v>
      </c>
      <c r="O6" s="10" t="str">
        <f ca="1"/>
        <v>●</v>
      </c>
      <c r="P6" s="10" t="str">
        <f ca="1"/>
        <v>●</v>
      </c>
      <c r="Q6" s="10" t="str">
        <f ca="1"/>
        <v>●</v>
      </c>
      <c r="R6" s="10" t="str">
        <f ca="1"/>
        <v>●</v>
      </c>
      <c r="S6" s="10" t="str">
        <f ca="1"/>
        <v>●</v>
      </c>
      <c r="T6" s="10" t="str">
        <f ca="1"/>
        <v>●</v>
      </c>
      <c r="U6" s="10" t="str">
        <f ca="1"/>
        <v>●</v>
      </c>
      <c r="V6" s="10" t="str">
        <f ca="1"/>
        <v>●</v>
      </c>
      <c r="W6" s="10" t="str">
        <f ca="1"/>
        <v>●</v>
      </c>
      <c r="X6" s="10" t="str">
        <f ca="1"/>
        <v>●</v>
      </c>
      <c r="Y6" s="10" t="str">
        <f ca="1"/>
        <v>●</v>
      </c>
      <c r="Z6" s="10" t="str">
        <f ca="1"/>
        <v>●</v>
      </c>
      <c r="AA6" s="10" t="str">
        <f ca="1"/>
        <v/>
      </c>
      <c r="BH6" s="11" cm="1">
        <f t="array" ref="BH6:BH9">IF(_xlfn.ANCHORARRAY(A6)="","",IF(_xlfn.ANCHORARRAY(A6)="— none —","",_xlfn.XLOOKUP(_xlfn.ANCHORARRAY(A6),tblItems[ID],tblItems[Level],0)))</f>
        <v>1</v>
      </c>
      <c r="BI6" s="11" t="str" cm="1">
        <f t="array" aca="1" ref="BI6:BI9" ca="1">_xlfn.LET(_xlpm.ids,_xlfn.ANCHORARRAY(A6),_xlpm.stt,_xlfn.XLOOKUP(_xlpm.ids,tblItems[ID],tblItems[Status],""),_xlpm.ed,_xlfn.XLOOKUP(_xlpm.ids,tblItems[ID],tblItems[Due],0),_xlpm.cn,ISNUMBER(_xlfn.XMATCH(_xlpm.stt,lstCancelledStatus)),_xlpm.dn,ISNUMBER(_xlfn.XMATCH(_xlpm.stt,lstDoneStatus)),_xlpm.ac,ISNUMBER(_xlfn.XMATCH(_xlpm.stt,lstActiveStatus)),IF((_xlpm.ids="")+(_xlpm.ids="— none —"),"",IF(_xlpm.cn,"C",IF(_xlpm.dn,"D",IF((_xlpm.ed&lt;&gt;0)*(_xlpm.ed&lt;TODAY()),"O",IF(_xlpm.ac,"A","P"))))))</f>
        <v>A</v>
      </c>
    </row>
    <row r="7" spans="1:61" ht="24" customHeight="1" x14ac:dyDescent="0.2">
      <c r="A7" s="8" t="str">
        <v>I-1002</v>
      </c>
      <c r="B7" s="8" t="str">
        <v xml:space="preserve">         Example epic</v>
      </c>
      <c r="C7" s="8" t="str">
        <v>Max</v>
      </c>
      <c r="D7" s="9">
        <v>46188</v>
      </c>
      <c r="E7" s="9">
        <v>46248</v>
      </c>
      <c r="F7" s="10" t="str">
        <f ca="1"/>
        <v/>
      </c>
      <c r="G7" s="10" t="str">
        <f ca="1"/>
        <v>●</v>
      </c>
      <c r="H7" s="10" t="str">
        <f ca="1"/>
        <v>●</v>
      </c>
      <c r="I7" s="10" t="str">
        <f ca="1"/>
        <v>●</v>
      </c>
      <c r="J7" s="10" t="str">
        <f ca="1"/>
        <v>●</v>
      </c>
      <c r="K7" s="10" t="str">
        <f ca="1"/>
        <v>●</v>
      </c>
      <c r="L7" s="10" t="str">
        <f ca="1"/>
        <v>●</v>
      </c>
      <c r="M7" s="10" t="str">
        <f ca="1"/>
        <v>●</v>
      </c>
      <c r="N7" s="10" t="str">
        <f ca="1"/>
        <v>●</v>
      </c>
      <c r="O7" s="10" t="str">
        <f ca="1"/>
        <v>●</v>
      </c>
      <c r="P7" s="10" t="str">
        <f ca="1"/>
        <v/>
      </c>
      <c r="Q7" s="10" t="str">
        <f ca="1"/>
        <v/>
      </c>
      <c r="R7" s="10" t="str">
        <f ca="1"/>
        <v/>
      </c>
      <c r="S7" s="10" t="str">
        <f ca="1"/>
        <v/>
      </c>
      <c r="T7" s="10" t="str">
        <f ca="1"/>
        <v/>
      </c>
      <c r="U7" s="10" t="str">
        <f ca="1"/>
        <v/>
      </c>
      <c r="V7" s="10" t="str">
        <f ca="1"/>
        <v/>
      </c>
      <c r="W7" s="10" t="str">
        <f ca="1"/>
        <v/>
      </c>
      <c r="X7" s="10" t="str">
        <f ca="1"/>
        <v/>
      </c>
      <c r="Y7" s="10" t="str">
        <f ca="1"/>
        <v/>
      </c>
      <c r="Z7" s="10" t="str">
        <f ca="1"/>
        <v/>
      </c>
      <c r="AA7" s="10" t="str">
        <f ca="1"/>
        <v/>
      </c>
      <c r="BH7" s="11">
        <v>4</v>
      </c>
      <c r="BI7" s="11" t="str">
        <f ca="1"/>
        <v>A</v>
      </c>
    </row>
    <row r="8" spans="1:61" ht="24" customHeight="1" x14ac:dyDescent="0.2">
      <c r="A8" s="8" t="str">
        <v>I-1003</v>
      </c>
      <c r="B8" s="8" t="str">
        <v xml:space="preserve">            Example completed deliverable</v>
      </c>
      <c r="C8" s="8" t="str">
        <v>Max</v>
      </c>
      <c r="D8" s="9">
        <v>46188</v>
      </c>
      <c r="E8" s="9">
        <v>46206</v>
      </c>
      <c r="F8" s="10" t="str">
        <f ca="1"/>
        <v/>
      </c>
      <c r="G8" s="10" t="str">
        <f ca="1"/>
        <v>✓</v>
      </c>
      <c r="H8" s="10" t="str">
        <f ca="1"/>
        <v>✓</v>
      </c>
      <c r="I8" s="10" t="str">
        <f ca="1"/>
        <v>✓</v>
      </c>
      <c r="J8" s="10" t="str">
        <f ca="1"/>
        <v/>
      </c>
      <c r="K8" s="10" t="str">
        <f ca="1"/>
        <v/>
      </c>
      <c r="L8" s="10" t="str">
        <f ca="1"/>
        <v/>
      </c>
      <c r="M8" s="10" t="str">
        <f ca="1"/>
        <v/>
      </c>
      <c r="N8" s="10" t="str">
        <f ca="1"/>
        <v/>
      </c>
      <c r="O8" s="10" t="str">
        <f ca="1"/>
        <v/>
      </c>
      <c r="P8" s="10" t="str">
        <f ca="1"/>
        <v/>
      </c>
      <c r="Q8" s="10" t="str">
        <f ca="1"/>
        <v/>
      </c>
      <c r="R8" s="10" t="str">
        <f ca="1"/>
        <v/>
      </c>
      <c r="S8" s="10" t="str">
        <f ca="1"/>
        <v/>
      </c>
      <c r="T8" s="10" t="str">
        <f ca="1"/>
        <v/>
      </c>
      <c r="U8" s="10" t="str">
        <f ca="1"/>
        <v/>
      </c>
      <c r="V8" s="10" t="str">
        <f ca="1"/>
        <v/>
      </c>
      <c r="W8" s="10" t="str">
        <f ca="1"/>
        <v/>
      </c>
      <c r="X8" s="10" t="str">
        <f ca="1"/>
        <v/>
      </c>
      <c r="Y8" s="10" t="str">
        <f ca="1"/>
        <v/>
      </c>
      <c r="Z8" s="10" t="str">
        <f ca="1"/>
        <v/>
      </c>
      <c r="AA8" s="10" t="str">
        <f ca="1"/>
        <v/>
      </c>
      <c r="BH8" s="11">
        <v>5</v>
      </c>
      <c r="BI8" s="11" t="str">
        <f ca="1"/>
        <v>D</v>
      </c>
    </row>
    <row r="9" spans="1:61" ht="24" customHeight="1" x14ac:dyDescent="0.2">
      <c r="A9" s="8" t="str">
        <v>I-1004</v>
      </c>
      <c r="B9" s="8" t="str">
        <v xml:space="preserve">   Example release</v>
      </c>
      <c r="C9" s="8" t="str">
        <v>Max</v>
      </c>
      <c r="D9" s="9" t="str">
        <v/>
      </c>
      <c r="E9" s="9">
        <v>46223</v>
      </c>
      <c r="F9" s="10" t="str">
        <f ca="1"/>
        <v/>
      </c>
      <c r="G9" s="10" t="str">
        <f ca="1"/>
        <v/>
      </c>
      <c r="H9" s="10" t="str">
        <f ca="1"/>
        <v/>
      </c>
      <c r="I9" s="10" t="str">
        <f ca="1"/>
        <v/>
      </c>
      <c r="J9" s="10" t="str">
        <f ca="1"/>
        <v/>
      </c>
      <c r="K9" s="10" t="str">
        <f ca="1"/>
        <v/>
      </c>
      <c r="L9" s="10" t="str">
        <f ca="1"/>
        <v>◆</v>
      </c>
      <c r="M9" s="10" t="str">
        <f ca="1"/>
        <v/>
      </c>
      <c r="N9" s="10" t="str">
        <f ca="1"/>
        <v/>
      </c>
      <c r="O9" s="10" t="str">
        <f ca="1"/>
        <v/>
      </c>
      <c r="P9" s="10" t="str">
        <f ca="1"/>
        <v/>
      </c>
      <c r="Q9" s="10" t="str">
        <f ca="1"/>
        <v/>
      </c>
      <c r="R9" s="10" t="str">
        <f ca="1"/>
        <v/>
      </c>
      <c r="S9" s="10" t="str">
        <f ca="1"/>
        <v/>
      </c>
      <c r="T9" s="10" t="str">
        <f ca="1"/>
        <v/>
      </c>
      <c r="U9" s="10" t="str">
        <f ca="1"/>
        <v/>
      </c>
      <c r="V9" s="10" t="str">
        <f ca="1"/>
        <v/>
      </c>
      <c r="W9" s="10" t="str">
        <f ca="1"/>
        <v/>
      </c>
      <c r="X9" s="10" t="str">
        <f ca="1"/>
        <v/>
      </c>
      <c r="Y9" s="10" t="str">
        <f ca="1"/>
        <v/>
      </c>
      <c r="Z9" s="10" t="str">
        <f ca="1"/>
        <v/>
      </c>
      <c r="AA9" s="10" t="str">
        <f ca="1"/>
        <v/>
      </c>
      <c r="BH9" s="11">
        <v>2</v>
      </c>
      <c r="BI9" s="11" t="str">
        <f ca="1"/>
        <v>P</v>
      </c>
    </row>
  </sheetData>
  <sheetProtection sheet="1" objects="1" scenarios="1"/>
  <mergeCells count="10">
    <mergeCell ref="S1:V1"/>
    <mergeCell ref="W1:Z1"/>
    <mergeCell ref="AA1:AE1"/>
    <mergeCell ref="AF1:AI1"/>
    <mergeCell ref="F2:R2"/>
    <mergeCell ref="A1:C1"/>
    <mergeCell ref="D1:E1"/>
    <mergeCell ref="F1:I1"/>
    <mergeCell ref="J1:N1"/>
    <mergeCell ref="O1:R1"/>
  </mergeCells>
  <conditionalFormatting sqref="A6:E2005">
    <cfRule type="expression" dxfId="198" priority="19">
      <formula>AND($A6&lt;&gt;"",$A6&lt;&gt;"— none —",$BH6=1)</formula>
    </cfRule>
    <cfRule type="expression" dxfId="197" priority="21">
      <formula>AND($A6&lt;&gt;"",$A6&lt;&gt;"— none —",$BH6&gt;=1,$BH6&lt;=3)</formula>
    </cfRule>
    <cfRule type="expression" dxfId="196" priority="22">
      <formula>AND($A6&lt;&gt;"",ISEVEN(ROW()))</formula>
    </cfRule>
  </conditionalFormatting>
  <conditionalFormatting sqref="B2">
    <cfRule type="expression" dxfId="195" priority="4" stopIfTrue="1">
      <formula>AND($B$2&lt;&gt;"",$B$2&lt;&gt;"All",COUNTIF(dvScopeLabels,$B$2)=0)</formula>
    </cfRule>
  </conditionalFormatting>
  <conditionalFormatting sqref="B3">
    <cfRule type="expression" dxfId="194" priority="3" stopIfTrue="1">
      <formula>AND($B$3&lt;&gt;"",OR(NOT(ISNUMBER($B$3)),$B$3&lt;1,$B$3&gt;6,INT($B$3)&lt;&gt;$B$3))</formula>
    </cfRule>
  </conditionalFormatting>
  <conditionalFormatting sqref="C2">
    <cfRule type="expression" dxfId="193" priority="5" stopIfTrue="1">
      <formula>AND($C$2&lt;&gt;"",$C$2&lt;&gt;"All",COUNTIF(dvScopeLabels,$C$2)=0)</formula>
    </cfRule>
  </conditionalFormatting>
  <conditionalFormatting sqref="C3">
    <cfRule type="expression" dxfId="192" priority="6" stopIfTrue="1">
      <formula>AND($C$3&lt;&gt;"",$C$3&lt;&gt;"All",COUNTIF(dvScopeLabels,$C$3)=0)</formula>
    </cfRule>
  </conditionalFormatting>
  <conditionalFormatting sqref="E2:E3">
    <cfRule type="expression" dxfId="191" priority="1" stopIfTrue="1">
      <formula>AND(ISNUMBER($E$2),ISNUMBER($E$3),$E$2&gt;$E$3)</formula>
    </cfRule>
    <cfRule type="expression" dxfId="190" priority="2" stopIfTrue="1">
      <formula>AND(E2&lt;&gt;"",OR(NOT(ISNUMBER(E2)),E2&lt;DATE(2020,1,1)))</formula>
    </cfRule>
  </conditionalFormatting>
  <conditionalFormatting sqref="F2:R2">
    <cfRule type="expression" dxfId="189" priority="7">
      <formula>$F$2&lt;&gt;""</formula>
    </cfRule>
  </conditionalFormatting>
  <conditionalFormatting sqref="F4:BE5">
    <cfRule type="expression" dxfId="188" priority="15">
      <formula>AND(F$5&lt;=TODAY(),TODAY()&lt;F$5+7)</formula>
    </cfRule>
    <cfRule type="expression" dxfId="187" priority="17">
      <formula>AND(COLUMN(F$5)&gt;COLUMN($F$5),MONTH(F$5)&lt;&gt;MONTH(F$5-7),NOT(AND(F$5&lt;=TODAY(),TODAY()&lt;F$5+7)))</formula>
    </cfRule>
  </conditionalFormatting>
  <conditionalFormatting sqref="F6:BE2005">
    <cfRule type="expression" priority="8" stopIfTrue="1">
      <formula>OR($A6="",$A6="— none —")</formula>
    </cfRule>
    <cfRule type="expression" dxfId="186" priority="9">
      <formula>F6="◆"</formula>
    </cfRule>
    <cfRule type="expression" dxfId="185" priority="10">
      <formula>AND(F6&lt;&gt;"",F6&lt;&gt;"◆",$BI6="D")</formula>
    </cfRule>
    <cfRule type="expression" dxfId="184" priority="11">
      <formula>AND(F6&lt;&gt;"",F6&lt;&gt;"◆",$BI6="A")</formula>
    </cfRule>
    <cfRule type="expression" dxfId="183" priority="12">
      <formula>AND(F6&lt;&gt;"",F6&lt;&gt;"◆",$BI6="O")</formula>
    </cfRule>
    <cfRule type="expression" dxfId="182" priority="13">
      <formula>AND(F6&lt;&gt;"",F6&lt;&gt;"◆",$BI6="P")</formula>
    </cfRule>
    <cfRule type="expression" dxfId="181" priority="14">
      <formula>AND(F6&lt;&gt;"",F6&lt;&gt;"◆",$BI6="C")</formula>
    </cfRule>
    <cfRule type="expression" dxfId="180" priority="16">
      <formula>AND($A6&lt;&gt;"",F$5&lt;=TODAY(),TODAY()&lt;F$5+7)</formula>
    </cfRule>
    <cfRule type="expression" dxfId="179" priority="18">
      <formula>AND($A6&lt;&gt;"",COLUMN(F$5)&gt;COLUMN($F$5),MONTH(F$5)&lt;&gt;MONTH(F$5-7),NOT(AND(F$5&lt;=TODAY(),TODAY()&lt;F$5+7)))</formula>
    </cfRule>
    <cfRule type="expression" dxfId="178" priority="20">
      <formula>AND($A6&lt;&gt;"",$A6&lt;&gt;"— none —",$BH6=1,F6="")</formula>
    </cfRule>
    <cfRule type="expression" dxfId="177" priority="23">
      <formula>AND($A6&lt;&gt;"",F6="",ISEVEN(ROW()))</formula>
    </cfRule>
  </conditionalFormatting>
  <dataValidations count="5">
    <dataValidation type="list" allowBlank="1" showInputMessage="1" showErrorMessage="1" errorTitle="Choose a listed value" error="Use the dropdown; free text is not valid." promptTitle="Choose a value" prompt="Blank = All; otherwise use the dropdown list." sqref="B2" xr:uid="{00000000-0002-0000-0100-000000000000}">
      <formula1>dvScopeLabels</formula1>
    </dataValidation>
    <dataValidation type="list" allowBlank="1" showInputMessage="1" showErrorMessage="1" errorTitle="Choose a listed value" error="Use the dropdown; free text is not valid." promptTitle="Additional scope" prompt="Blank = unused; otherwise choose another scope to show alongside." sqref="C2:C3" xr:uid="{00000000-0002-0000-0100-000001000000}">
      <formula1>dvScopeLabels</formula1>
    </dataValidation>
    <dataValidation type="list" allowBlank="1" showInputMessage="1" showErrorMessage="1" errorTitle="Choose a level 1-6" error="Use the dropdown; free text is not valid." promptTitle="Visible depth" prompt="Blank = all six levels; otherwise choose 1-6." sqref="B3" xr:uid="{00000000-0002-0000-0100-000003000000}">
      <formula1>"1,2,3,4,5,6"</formula1>
    </dataValidation>
    <dataValidation type="date" operator="greaterThanOrEqual" allowBlank="1" showInputMessage="1" showErrorMessage="1" errorTitle="Use a valid date" error="Enter a real date from 2020 onwards, or clear the cell for automatic." promptTitle="Window start" prompt="Blank = automatic (the shown items' range). Use 13 Jul 2026; Ctrl+; inserts today." sqref="E2" xr:uid="{00000000-0002-0000-0100-000004000000}">
      <formula1>DATE(2020,1,1)</formula1>
    </dataValidation>
    <dataValidation type="date" operator="greaterThanOrEqual" allowBlank="1" showInputMessage="1" showErrorMessage="1" errorTitle="Use a valid date" error="Enter a real date from 2020 onwards, or clear the cell for automatic." promptTitle="Window end" prompt="Blank = automatic (the shown items' range). Use 13 Jul 2026; Ctrl+; inserts today." sqref="E3" xr:uid="{00000000-0002-0000-0100-000005000000}">
      <formula1>DATE(2020,1,1)</formula1>
    </dataValidation>
  </dataValidations>
  <pageMargins left="0.25" right="0.25" top="0.35" bottom="0.35" header="0.3" footer="0.3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E6655"/>
    <outlinePr summaryBelow="0"/>
    <pageSetUpPr fitToPage="1"/>
  </sheetPr>
  <dimension ref="A1:AM6"/>
  <sheetViews>
    <sheetView showGridLines="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baseColWidth="10" defaultColWidth="9" defaultRowHeight="24" customHeight="1" outlineLevelRow="4" outlineLevelCol="1" x14ac:dyDescent="0.2"/>
  <cols>
    <col min="1" max="1" width="9.796875" customWidth="1"/>
    <col min="2" max="2" width="12.796875" customWidth="1"/>
    <col min="3" max="3" width="36.796875" customWidth="1"/>
    <col min="4" max="4" width="11.796875" customWidth="1"/>
    <col min="5" max="5" width="10.796875" customWidth="1"/>
    <col min="6" max="6" width="12.796875" customWidth="1"/>
    <col min="7" max="7" width="13.796875" customWidth="1"/>
    <col min="8" max="8" width="12.796875" customWidth="1"/>
    <col min="9" max="9" width="16.796875" customWidth="1"/>
    <col min="10" max="10" width="30.796875" customWidth="1"/>
    <col min="11" max="11" width="12.796875" customWidth="1"/>
    <col min="12" max="12" width="12.796875" hidden="1" customWidth="1" outlineLevel="1"/>
    <col min="13" max="13" width="16.796875" hidden="1" customWidth="1" outlineLevel="1"/>
    <col min="14" max="14" width="6.796875" hidden="1" customWidth="1" outlineLevel="1"/>
    <col min="15" max="18" width="4.796875" hidden="1" customWidth="1" outlineLevel="1"/>
    <col min="19" max="19" width="5.796875" hidden="1" customWidth="1" outlineLevel="1"/>
    <col min="20" max="20" width="9.796875" hidden="1" customWidth="1" outlineLevel="1"/>
    <col min="21" max="21" width="7.796875" hidden="1" customWidth="1" outlineLevel="1"/>
    <col min="22" max="22" width="12.796875" hidden="1" customWidth="1" outlineLevel="1"/>
    <col min="23" max="24" width="8.796875" hidden="1" customWidth="1" outlineLevel="1"/>
    <col min="25" max="26" width="6.796875" hidden="1" customWidth="1" outlineLevel="1"/>
    <col min="27" max="28" width="7.796875" hidden="1" customWidth="1" outlineLevel="1"/>
    <col min="29" max="34" width="12.796875" hidden="1" customWidth="1" outlineLevel="1"/>
    <col min="35" max="35" width="8.796875" hidden="1" customWidth="1" outlineLevel="1"/>
    <col min="36" max="36" width="14.796875" hidden="1" customWidth="1" outlineLevel="1"/>
    <col min="37" max="38" width="18.796875" hidden="1" customWidth="1" outlineLevel="1"/>
    <col min="39" max="39" width="9.19921875" collapsed="1"/>
  </cols>
  <sheetData>
    <row r="1" spans="1:38" ht="32" customHeight="1" x14ac:dyDescent="0.2">
      <c r="A1" s="42" t="s">
        <v>32</v>
      </c>
      <c r="B1" s="42"/>
      <c r="C1" s="42"/>
      <c r="D1" s="52" t="str">
        <f>IF(ROWS(tblItems[ID])&gt;2000,"⚠ Supported capacity exceeded: Items has "&amp;ROWS(tblItems[ID])&amp;" rows; views and validation support 2000","")</f>
        <v/>
      </c>
      <c r="E1" s="52"/>
      <c r="F1" s="52"/>
      <c r="G1" s="52"/>
      <c r="H1" s="52"/>
      <c r="I1" s="52"/>
    </row>
    <row r="2" spans="1:38" ht="34" customHeight="1" x14ac:dyDescent="0.2">
      <c r="A2" s="18" t="s">
        <v>30</v>
      </c>
      <c r="B2" s="18" t="s">
        <v>4</v>
      </c>
      <c r="C2" s="18" t="s">
        <v>33</v>
      </c>
      <c r="D2" s="18" t="s">
        <v>34</v>
      </c>
      <c r="E2" s="18" t="s">
        <v>35</v>
      </c>
      <c r="F2" s="18" t="s">
        <v>31</v>
      </c>
      <c r="G2" s="18" t="s">
        <v>36</v>
      </c>
      <c r="H2" s="18" t="s">
        <v>3</v>
      </c>
      <c r="I2" s="18" t="s">
        <v>1</v>
      </c>
      <c r="J2" s="18" t="s">
        <v>8</v>
      </c>
      <c r="K2" s="18" t="s">
        <v>2</v>
      </c>
      <c r="L2" s="18" t="s">
        <v>37</v>
      </c>
      <c r="M2" s="18" t="s">
        <v>38</v>
      </c>
      <c r="N2" s="18" t="s">
        <v>39</v>
      </c>
      <c r="O2" s="18" t="s">
        <v>40</v>
      </c>
      <c r="P2" s="18" t="s">
        <v>41</v>
      </c>
      <c r="Q2" s="18" t="s">
        <v>42</v>
      </c>
      <c r="R2" s="18" t="s">
        <v>43</v>
      </c>
      <c r="S2" s="18" t="s">
        <v>44</v>
      </c>
      <c r="T2" s="18" t="s">
        <v>11</v>
      </c>
      <c r="U2" s="18" t="s">
        <v>45</v>
      </c>
      <c r="V2" s="18" t="s">
        <v>46</v>
      </c>
      <c r="W2" s="18" t="s">
        <v>47</v>
      </c>
      <c r="X2" s="18" t="s">
        <v>48</v>
      </c>
      <c r="Y2" s="18" t="s">
        <v>49</v>
      </c>
      <c r="Z2" s="18" t="s">
        <v>50</v>
      </c>
      <c r="AA2" s="18" t="s">
        <v>51</v>
      </c>
      <c r="AB2" s="18" t="s">
        <v>52</v>
      </c>
      <c r="AC2" s="18" t="s">
        <v>53</v>
      </c>
      <c r="AD2" s="18" t="s">
        <v>54</v>
      </c>
      <c r="AE2" s="18" t="s">
        <v>55</v>
      </c>
      <c r="AF2" s="18" t="s">
        <v>56</v>
      </c>
      <c r="AG2" s="18" t="s">
        <v>57</v>
      </c>
      <c r="AH2" s="18" t="s">
        <v>58</v>
      </c>
      <c r="AI2" s="18" t="s">
        <v>59</v>
      </c>
      <c r="AJ2" s="18" t="s">
        <v>60</v>
      </c>
      <c r="AK2" s="18" t="s">
        <v>61</v>
      </c>
      <c r="AL2" s="18" t="s">
        <v>62</v>
      </c>
    </row>
    <row r="3" spans="1:38" ht="30" customHeight="1" x14ac:dyDescent="0.2">
      <c r="A3" s="19" t="s">
        <v>63</v>
      </c>
      <c r="B3" s="20" t="s">
        <v>64</v>
      </c>
      <c r="C3" s="21" t="s">
        <v>65</v>
      </c>
      <c r="D3" s="22"/>
      <c r="E3" s="20" t="s">
        <v>66</v>
      </c>
      <c r="F3" s="23">
        <v>46188</v>
      </c>
      <c r="G3" s="20" t="s">
        <v>67</v>
      </c>
      <c r="H3" s="23">
        <v>46325</v>
      </c>
      <c r="I3" s="20" t="s">
        <v>68</v>
      </c>
      <c r="J3" s="24" t="s">
        <v>69</v>
      </c>
      <c r="K3" s="20" t="s">
        <v>70</v>
      </c>
      <c r="L3" s="22"/>
      <c r="M3" s="25" t="str">
        <f>IF(tblItems[[#This Row],[Parent]]="","",fnItemLookup(tblItems[[#This Row],[Parent]],tblItems[Title]))</f>
        <v/>
      </c>
      <c r="N3" s="26">
        <f>IF(tblItems[[#This Row],[Parent]]="",0,_xlfn.IFNA(INDEX(tblItems[Level],MATCH(tblItems[[#This Row],[Parent]],tblItems[ID],0)),0))</f>
        <v>0</v>
      </c>
      <c r="O3" s="25" t="str">
        <f>IF(tblItems[[#This Row],[Parent]]="","",fnItemLookup(tblItems[[#This Row],[Parent]],tblItems[Parent]))</f>
        <v/>
      </c>
      <c r="P3" s="25" t="str">
        <f>IF(tblItems[[#This Row],[A2]]="","",fnItemLookup(tblItems[[#This Row],[A2]],tblItems[Parent]))</f>
        <v/>
      </c>
      <c r="Q3" s="25" t="str">
        <f>IF(tblItems[[#This Row],[A3]]="","",fnItemLookup(tblItems[[#This Row],[A3]],tblItems[Parent]))</f>
        <v/>
      </c>
      <c r="R3" s="25" t="str">
        <f>IF(tblItems[[#This Row],[A4]]="","",fnItemLookup(tblItems[[#This Row],[A4]],tblItems[Parent]))</f>
        <v/>
      </c>
      <c r="S3" s="26">
        <f>IF(tblItems[[#This Row],[ID]]="",0,fnTypeLevel(tblItems[[#This Row],[Type]]))</f>
        <v>1</v>
      </c>
      <c r="T3" s="25" t="str">
        <f>fnAncestorAtLevel(tblItems[[#This Row],[ID]],1,0)</f>
        <v>I-1001</v>
      </c>
      <c r="U3" s="26">
        <f>IF(tblItems[[#This Row],[ID]]="",0,COUNTIF(tblItems[Parent],tblItems[[#This Row],[ID]]))</f>
        <v>2</v>
      </c>
      <c r="V3" s="25" t="str">
        <f>fnDepOpen(tblItems[[#This Row],[BlockedBy]])</f>
        <v/>
      </c>
      <c r="W3" s="27" t="b">
        <f>fnRefsValid(tblItems[[#This Row],[BlockedBy]],tblItems[[#This Row],[ID]])</f>
        <v>1</v>
      </c>
      <c r="X3" s="27" t="b">
        <f>OR(AND(tblItems[[#This Row],[Delivery Health]]&lt;&gt;"",tblItems[[#This Row],[Delivery Health]]=LOOKUP(2,1/(dvDeliveryHealth&lt;&gt;""),dvDeliveryHealth)),tblItems[[#This Row],[WaitingOn]]&lt;&gt;"")</f>
        <v>0</v>
      </c>
      <c r="Y3" s="28">
        <f ca="1">IF(OR(tblItems[[#This Row],[Due]]="",fnIsDone(tblItems[[#This Row],[Status]])),"",tblItems[[#This Row],[Due]]-TODAY())</f>
        <v>107</v>
      </c>
      <c r="Z3" s="29" t="str">
        <f ca="1">fnHealthRAG(tblItems[[#This Row],[Status]],tblItems[[#This Row],[Due]],tblItems[[#This Row],[IsBlocked]],tblItems[[#This Row],[BlockedSince]],tblItems[[#This Row],[Updated]])</f>
        <v>G</v>
      </c>
      <c r="AA3" s="26">
        <f ca="1">IF(tblItems[[#This Row],[Created]]="","",fnBizDays(tblItems[[#This Row],[Created]],IF(tblItems[[#This Row],[DoneDate]]="",TODAY(),tblItems[[#This Row],[DoneDate]])))</f>
        <v>33</v>
      </c>
      <c r="AB3" s="26" t="str">
        <f ca="1">IF(tblItems[[#This Row],[InProgressSince]]="","",fnBizDays(tblItems[[#This Row],[InProgressSince]],IF(tblItems[[#This Row],[DoneDate]]="",TODAY(),tblItems[[#This Row],[DoneDate]])))</f>
        <v/>
      </c>
      <c r="AC3" s="30">
        <v>46174</v>
      </c>
      <c r="AD3" s="30">
        <v>46215</v>
      </c>
      <c r="AE3" s="30"/>
      <c r="AF3" s="30"/>
      <c r="AG3" s="30"/>
      <c r="AH3" s="30">
        <v>46215</v>
      </c>
      <c r="AI3" s="27" t="b">
        <f>IF(tblItems[[#This Row],[ID]]="",FALSE,AND(tblItems[[#This Row],[Due]]&lt;&gt;"",tblItems[[#This Row],[Start]]=""))</f>
        <v>0</v>
      </c>
      <c r="AJ3" s="25" t="str">
        <f>IF(tblItems[[#This Row],[ID]]="",REPT("Z",50),fnWbsKey(tblItems[[#This Row],[ID]],0))</f>
        <v>0004618800001</v>
      </c>
      <c r="AK3" s="31"/>
      <c r="AL3" s="31"/>
    </row>
    <row r="4" spans="1:38" ht="24" customHeight="1" outlineLevel="3" x14ac:dyDescent="0.2">
      <c r="A4" s="19" t="s">
        <v>71</v>
      </c>
      <c r="B4" s="20" t="s">
        <v>72</v>
      </c>
      <c r="C4" s="32" t="s">
        <v>73</v>
      </c>
      <c r="D4" s="22" t="s">
        <v>63</v>
      </c>
      <c r="E4" s="20" t="s">
        <v>66</v>
      </c>
      <c r="F4" s="23">
        <v>46188</v>
      </c>
      <c r="G4" s="20" t="s">
        <v>67</v>
      </c>
      <c r="H4" s="23">
        <v>46248</v>
      </c>
      <c r="I4" s="20" t="s">
        <v>74</v>
      </c>
      <c r="J4" s="24" t="s">
        <v>69</v>
      </c>
      <c r="K4" s="20" t="s">
        <v>70</v>
      </c>
      <c r="L4" s="22"/>
      <c r="M4" s="25" t="str">
        <f>IF(tblItems[[#This Row],[Parent]]="","",fnItemLookup(tblItems[[#This Row],[Parent]],tblItems[Title]))</f>
        <v>Example Project</v>
      </c>
      <c r="N4" s="26">
        <f>IF(tblItems[[#This Row],[Parent]]="",0,_xlfn.IFNA(INDEX(tblItems[Level],MATCH(tblItems[[#This Row],[Parent]],tblItems[ID],0)),0))</f>
        <v>1</v>
      </c>
      <c r="O4" s="25" t="str">
        <f>IF(tblItems[[#This Row],[Parent]]="","",fnItemLookup(tblItems[[#This Row],[Parent]],tblItems[Parent]))</f>
        <v/>
      </c>
      <c r="P4" s="25" t="str">
        <f>IF(tblItems[[#This Row],[A2]]="","",fnItemLookup(tblItems[[#This Row],[A2]],tblItems[Parent]))</f>
        <v/>
      </c>
      <c r="Q4" s="25" t="str">
        <f>IF(tblItems[[#This Row],[A3]]="","",fnItemLookup(tblItems[[#This Row],[A3]],tblItems[Parent]))</f>
        <v/>
      </c>
      <c r="R4" s="25" t="str">
        <f>IF(tblItems[[#This Row],[A4]]="","",fnItemLookup(tblItems[[#This Row],[A4]],tblItems[Parent]))</f>
        <v/>
      </c>
      <c r="S4" s="26">
        <f>IF(tblItems[[#This Row],[ID]]="",0,fnTypeLevel(tblItems[[#This Row],[Type]]))</f>
        <v>4</v>
      </c>
      <c r="T4" s="25" t="str">
        <f>fnAncestorAtLevel(tblItems[[#This Row],[ID]],1,0)</f>
        <v>I-1001</v>
      </c>
      <c r="U4" s="26">
        <f>IF(tblItems[[#This Row],[ID]]="",0,COUNTIF(tblItems[Parent],tblItems[[#This Row],[ID]]))</f>
        <v>1</v>
      </c>
      <c r="V4" s="25" t="str">
        <f>fnDepOpen(tblItems[[#This Row],[BlockedBy]])</f>
        <v/>
      </c>
      <c r="W4" s="27" t="b">
        <f>fnRefsValid(tblItems[[#This Row],[BlockedBy]],tblItems[[#This Row],[ID]])</f>
        <v>1</v>
      </c>
      <c r="X4" s="27" t="b">
        <f>OR(AND(tblItems[[#This Row],[Delivery Health]]&lt;&gt;"",tblItems[[#This Row],[Delivery Health]]=LOOKUP(2,1/(dvDeliveryHealth&lt;&gt;""),dvDeliveryHealth)),tblItems[[#This Row],[WaitingOn]]&lt;&gt;"")</f>
        <v>0</v>
      </c>
      <c r="Y4" s="28">
        <f ca="1">IF(OR(tblItems[[#This Row],[Due]]="",fnIsDone(tblItems[[#This Row],[Status]])),"",tblItems[[#This Row],[Due]]-TODAY())</f>
        <v>30</v>
      </c>
      <c r="Z4" s="29" t="str">
        <f ca="1">fnHealthRAG(tblItems[[#This Row],[Status]],tblItems[[#This Row],[Due]],tblItems[[#This Row],[IsBlocked]],tblItems[[#This Row],[BlockedSince]],tblItems[[#This Row],[Updated]])</f>
        <v>G</v>
      </c>
      <c r="AA4" s="26">
        <f ca="1">IF(tblItems[[#This Row],[Created]]="","",fnBizDays(tblItems[[#This Row],[Created]],IF(tblItems[[#This Row],[DoneDate]]="",TODAY(),tblItems[[#This Row],[DoneDate]])))</f>
        <v>33</v>
      </c>
      <c r="AB4" s="26">
        <f ca="1">IF(tblItems[[#This Row],[InProgressSince]]="","",fnBizDays(tblItems[[#This Row],[InProgressSince]],IF(tblItems[[#This Row],[DoneDate]]="",TODAY(),tblItems[[#This Row],[DoneDate]])))</f>
        <v>23</v>
      </c>
      <c r="AC4" s="30">
        <v>46174</v>
      </c>
      <c r="AD4" s="30">
        <v>46215</v>
      </c>
      <c r="AE4" s="30">
        <v>46188</v>
      </c>
      <c r="AF4" s="30"/>
      <c r="AG4" s="30"/>
      <c r="AH4" s="30">
        <v>46215</v>
      </c>
      <c r="AI4" s="27" t="b">
        <f>IF(tblItems[[#This Row],[ID]]="",FALSE,AND(tblItems[[#This Row],[Due]]&lt;&gt;"",tblItems[[#This Row],[Start]]=""))</f>
        <v>0</v>
      </c>
      <c r="AJ4" s="25" t="str">
        <f>IF(tblItems[[#This Row],[ID]]="",REPT("Z",50),fnWbsKey(tblItems[[#This Row],[ID]],0))</f>
        <v>00046188000010004618800002</v>
      </c>
      <c r="AK4" s="31"/>
      <c r="AL4" s="31"/>
    </row>
    <row r="5" spans="1:38" ht="24" customHeight="1" outlineLevel="4" x14ac:dyDescent="0.2">
      <c r="A5" s="19" t="s">
        <v>75</v>
      </c>
      <c r="B5" s="20" t="s">
        <v>76</v>
      </c>
      <c r="C5" s="33" t="s">
        <v>77</v>
      </c>
      <c r="D5" s="22" t="s">
        <v>71</v>
      </c>
      <c r="E5" s="20" t="s">
        <v>66</v>
      </c>
      <c r="F5" s="23">
        <v>46188</v>
      </c>
      <c r="G5" s="20" t="s">
        <v>78</v>
      </c>
      <c r="H5" s="23">
        <v>46206</v>
      </c>
      <c r="I5" s="20"/>
      <c r="J5" s="24" t="s">
        <v>69</v>
      </c>
      <c r="K5" s="20" t="s">
        <v>70</v>
      </c>
      <c r="L5" s="22"/>
      <c r="M5" s="25" t="str">
        <f>IF(tblItems[[#This Row],[Parent]]="","",fnItemLookup(tblItems[[#This Row],[Parent]],tblItems[Title]))</f>
        <v>Example epic</v>
      </c>
      <c r="N5" s="26">
        <f>IF(tblItems[[#This Row],[Parent]]="",0,_xlfn.IFNA(INDEX(tblItems[Level],MATCH(tblItems[[#This Row],[Parent]],tblItems[ID],0)),0))</f>
        <v>4</v>
      </c>
      <c r="O5" s="25" t="str">
        <f>IF(tblItems[[#This Row],[Parent]]="","",fnItemLookup(tblItems[[#This Row],[Parent]],tblItems[Parent]))</f>
        <v>I-1001</v>
      </c>
      <c r="P5" s="25" t="str">
        <f>IF(tblItems[[#This Row],[A2]]="","",fnItemLookup(tblItems[[#This Row],[A2]],tblItems[Parent]))</f>
        <v/>
      </c>
      <c r="Q5" s="25" t="str">
        <f>IF(tblItems[[#This Row],[A3]]="","",fnItemLookup(tblItems[[#This Row],[A3]],tblItems[Parent]))</f>
        <v/>
      </c>
      <c r="R5" s="25" t="str">
        <f>IF(tblItems[[#This Row],[A4]]="","",fnItemLookup(tblItems[[#This Row],[A4]],tblItems[Parent]))</f>
        <v/>
      </c>
      <c r="S5" s="26">
        <f>IF(tblItems[[#This Row],[ID]]="",0,fnTypeLevel(tblItems[[#This Row],[Type]]))</f>
        <v>5</v>
      </c>
      <c r="T5" s="25" t="str">
        <f>fnAncestorAtLevel(tblItems[[#This Row],[ID]],1,0)</f>
        <v>I-1001</v>
      </c>
      <c r="U5" s="26">
        <f>IF(tblItems[[#This Row],[ID]]="",0,COUNTIF(tblItems[Parent],tblItems[[#This Row],[ID]]))</f>
        <v>0</v>
      </c>
      <c r="V5" s="25" t="str">
        <f>fnDepOpen(tblItems[[#This Row],[BlockedBy]])</f>
        <v/>
      </c>
      <c r="W5" s="27" t="b">
        <f>fnRefsValid(tblItems[[#This Row],[BlockedBy]],tblItems[[#This Row],[ID]])</f>
        <v>1</v>
      </c>
      <c r="X5" s="27" t="b">
        <f>OR(AND(tblItems[[#This Row],[Delivery Health]]&lt;&gt;"",tblItems[[#This Row],[Delivery Health]]=LOOKUP(2,1/(dvDeliveryHealth&lt;&gt;""),dvDeliveryHealth)),tblItems[[#This Row],[WaitingOn]]&lt;&gt;"")</f>
        <v>0</v>
      </c>
      <c r="Y5" s="28" t="str">
        <f ca="1">IF(OR(tblItems[[#This Row],[Due]]="",fnIsDone(tblItems[[#This Row],[Status]])),"",tblItems[[#This Row],[Due]]-TODAY())</f>
        <v/>
      </c>
      <c r="Z5" s="29" t="str">
        <f ca="1">fnHealthRAG(tblItems[[#This Row],[Status]],tblItems[[#This Row],[Due]],tblItems[[#This Row],[IsBlocked]],tblItems[[#This Row],[BlockedSince]],tblItems[[#This Row],[Updated]])</f>
        <v>–</v>
      </c>
      <c r="AA5" s="26">
        <f ca="1">IF(tblItems[[#This Row],[Created]]="","",fnBizDays(tblItems[[#This Row],[Created]],IF(tblItems[[#This Row],[DoneDate]]="",TODAY(),tblItems[[#This Row],[DoneDate]])))</f>
        <v>25</v>
      </c>
      <c r="AB5" s="26">
        <f ca="1">IF(tblItems[[#This Row],[InProgressSince]]="","",fnBizDays(tblItems[[#This Row],[InProgressSince]],IF(tblItems[[#This Row],[DoneDate]]="",TODAY(),tblItems[[#This Row],[DoneDate]])))</f>
        <v>15</v>
      </c>
      <c r="AC5" s="30">
        <v>46174</v>
      </c>
      <c r="AD5" s="30">
        <v>46206</v>
      </c>
      <c r="AE5" s="30">
        <v>46188</v>
      </c>
      <c r="AF5" s="30">
        <v>46206</v>
      </c>
      <c r="AG5" s="30"/>
      <c r="AH5" s="30">
        <v>46206</v>
      </c>
      <c r="AI5" s="27" t="b">
        <f>IF(tblItems[[#This Row],[ID]]="",FALSE,AND(tblItems[[#This Row],[Due]]&lt;&gt;"",tblItems[[#This Row],[Start]]=""))</f>
        <v>0</v>
      </c>
      <c r="AJ5" s="25" t="str">
        <f>IF(tblItems[[#This Row],[ID]]="",REPT("Z",50),fnWbsKey(tblItems[[#This Row],[ID]],0))</f>
        <v>000461880000100046188000020004618800003</v>
      </c>
      <c r="AK5" s="31"/>
      <c r="AL5" s="31"/>
    </row>
    <row r="6" spans="1:38" ht="28" customHeight="1" outlineLevel="1" x14ac:dyDescent="0.2">
      <c r="A6" s="19" t="s">
        <v>79</v>
      </c>
      <c r="B6" s="20" t="s">
        <v>80</v>
      </c>
      <c r="C6" s="34" t="s">
        <v>81</v>
      </c>
      <c r="D6" s="22" t="s">
        <v>63</v>
      </c>
      <c r="E6" s="20" t="s">
        <v>82</v>
      </c>
      <c r="F6" s="23"/>
      <c r="G6" s="20" t="s">
        <v>83</v>
      </c>
      <c r="H6" s="23">
        <v>46223</v>
      </c>
      <c r="I6" s="20"/>
      <c r="J6" s="24" t="s">
        <v>69</v>
      </c>
      <c r="K6" s="20" t="s">
        <v>70</v>
      </c>
      <c r="L6" s="22"/>
      <c r="M6" s="25" t="str">
        <f>IF(tblItems[[#This Row],[Parent]]="","",fnItemLookup(tblItems[[#This Row],[Parent]],tblItems[Title]))</f>
        <v>Example Project</v>
      </c>
      <c r="N6" s="26">
        <f>IF(tblItems[[#This Row],[Parent]]="",0,_xlfn.IFNA(INDEX(tblItems[Level],MATCH(tblItems[[#This Row],[Parent]],tblItems[ID],0)),0))</f>
        <v>1</v>
      </c>
      <c r="O6" s="25" t="str">
        <f>IF(tblItems[[#This Row],[Parent]]="","",fnItemLookup(tblItems[[#This Row],[Parent]],tblItems[Parent]))</f>
        <v/>
      </c>
      <c r="P6" s="25" t="str">
        <f>IF(tblItems[[#This Row],[A2]]="","",fnItemLookup(tblItems[[#This Row],[A2]],tblItems[Parent]))</f>
        <v/>
      </c>
      <c r="Q6" s="25" t="str">
        <f>IF(tblItems[[#This Row],[A3]]="","",fnItemLookup(tblItems[[#This Row],[A3]],tblItems[Parent]))</f>
        <v/>
      </c>
      <c r="R6" s="25" t="str">
        <f>IF(tblItems[[#This Row],[A4]]="","",fnItemLookup(tblItems[[#This Row],[A4]],tblItems[Parent]))</f>
        <v/>
      </c>
      <c r="S6" s="26">
        <f>IF(tblItems[[#This Row],[ID]]="",0,fnTypeLevel(tblItems[[#This Row],[Type]]))</f>
        <v>2</v>
      </c>
      <c r="T6" s="25" t="str">
        <f>fnAncestorAtLevel(tblItems[[#This Row],[ID]],1,0)</f>
        <v>I-1001</v>
      </c>
      <c r="U6" s="26">
        <f>IF(tblItems[[#This Row],[ID]]="",0,COUNTIF(tblItems[Parent],tblItems[[#This Row],[ID]]))</f>
        <v>0</v>
      </c>
      <c r="V6" s="25" t="str">
        <f>fnDepOpen(tblItems[[#This Row],[BlockedBy]])</f>
        <v/>
      </c>
      <c r="W6" s="27" t="b">
        <f>fnRefsValid(tblItems[[#This Row],[BlockedBy]],tblItems[[#This Row],[ID]])</f>
        <v>1</v>
      </c>
      <c r="X6" s="27" t="b">
        <f>OR(AND(tblItems[[#This Row],[Delivery Health]]&lt;&gt;"",tblItems[[#This Row],[Delivery Health]]=LOOKUP(2,1/(dvDeliveryHealth&lt;&gt;""),dvDeliveryHealth)),tblItems[[#This Row],[WaitingOn]]&lt;&gt;"")</f>
        <v>0</v>
      </c>
      <c r="Y6" s="28">
        <f ca="1">IF(OR(tblItems[[#This Row],[Due]]="",fnIsDone(tblItems[[#This Row],[Status]])),"",tblItems[[#This Row],[Due]]-TODAY())</f>
        <v>5</v>
      </c>
      <c r="Z6" s="29" t="str">
        <f ca="1">fnHealthRAG(tblItems[[#This Row],[Status]],tblItems[[#This Row],[Due]],tblItems[[#This Row],[IsBlocked]],tblItems[[#This Row],[BlockedSince]],tblItems[[#This Row],[Updated]])</f>
        <v>A</v>
      </c>
      <c r="AA6" s="26">
        <f ca="1">IF(tblItems[[#This Row],[Created]]="","",fnBizDays(tblItems[[#This Row],[Created]],IF(tblItems[[#This Row],[DoneDate]]="",TODAY(),tblItems[[#This Row],[DoneDate]])))</f>
        <v>18</v>
      </c>
      <c r="AB6" s="26" t="str">
        <f ca="1">IF(tblItems[[#This Row],[InProgressSince]]="","",fnBizDays(tblItems[[#This Row],[InProgressSince]],IF(tblItems[[#This Row],[DoneDate]]="",TODAY(),tblItems[[#This Row],[DoneDate]])))</f>
        <v/>
      </c>
      <c r="AC6" s="30">
        <v>46193</v>
      </c>
      <c r="AD6" s="30">
        <v>46215</v>
      </c>
      <c r="AE6" s="30"/>
      <c r="AF6" s="30"/>
      <c r="AG6" s="30"/>
      <c r="AH6" s="30">
        <v>46215</v>
      </c>
      <c r="AI6" s="27" t="b">
        <f>IF(tblItems[[#This Row],[ID]]="",FALSE,AND(tblItems[[#This Row],[Due]]&lt;&gt;"",tblItems[[#This Row],[Start]]=""))</f>
        <v>1</v>
      </c>
      <c r="AJ6" s="25" t="str">
        <f>IF(tblItems[[#This Row],[ID]]="",REPT("Z",50),fnWbsKey(tblItems[[#This Row],[ID]],0))</f>
        <v>00046188000010004622300004</v>
      </c>
      <c r="AK6" s="31"/>
      <c r="AL6" s="31"/>
    </row>
  </sheetData>
  <mergeCells count="2">
    <mergeCell ref="A1:C1"/>
    <mergeCell ref="D1:I1"/>
  </mergeCells>
  <conditionalFormatting sqref="A3:A2002">
    <cfRule type="expression" dxfId="176" priority="2" stopIfTrue="1">
      <formula>AND($A3&lt;&gt;"",COUNTIF($A$3:$A$2002,$A3)&gt;1)</formula>
    </cfRule>
    <cfRule type="expression" dxfId="175" priority="3" stopIfTrue="1">
      <formula>AND($A3&lt;&gt;"",OR(LEFT($A3,LEN(cfgItemIDPrefix))&lt;&gt;cfgItemIDPrefix,LEN($A3)&lt;=LEN(cfgItemIDPrefix),NOT(IFERROR(AND(VALUE(MID($A3,LEN(cfgItemIDPrefix)+1,99))&gt;=1,INT(VALUE(MID($A3,LEN(cfgItemIDPrefix)+1,99)))=VALUE(MID($A3,LEN(cfgItemIDPrefix)+1,99))),FALSE))))</formula>
    </cfRule>
    <cfRule type="expression" dxfId="174" priority="4" stopIfTrue="1">
      <formula>AND($A3="",OR($B3&lt;&gt;"",$C3&lt;&gt;"",$D3&lt;&gt;"",$E3&lt;&gt;"",$F3&lt;&gt;"",$G3&lt;&gt;"",$H3&lt;&gt;"",$I3&lt;&gt;"",$J3&lt;&gt;"",$K3&lt;&gt;"",$L3&lt;&gt;""))</formula>
    </cfRule>
    <cfRule type="expression" dxfId="173" priority="31">
      <formula>AND($A3&lt;&gt;"",$S3&gt;=1,$S3&lt;=3)</formula>
    </cfRule>
  </conditionalFormatting>
  <conditionalFormatting sqref="A3:C2002">
    <cfRule type="expression" dxfId="172" priority="38">
      <formula>$X3=TRUE</formula>
    </cfRule>
  </conditionalFormatting>
  <conditionalFormatting sqref="A3:L2002 S3:S2002 X3:X2002 Z3:Z2002 AC3:AH2002">
    <cfRule type="expression" priority="1" stopIfTrue="1">
      <formula>AND($A3="",COUNTA($B3:$L3)=0)</formula>
    </cfRule>
  </conditionalFormatting>
  <conditionalFormatting sqref="AC3:AC2002">
    <cfRule type="expression" dxfId="171" priority="16" stopIfTrue="1">
      <formula>AND($A3&lt;&gt;"",$AC3&lt;&gt;"",OR(NOT(ISNUMBER($AC3)),$AC3&lt;DATE(2020,1,1)))</formula>
    </cfRule>
    <cfRule type="expression" dxfId="170" priority="24" stopIfTrue="1">
      <formula>AND($A3&lt;&gt;"",$AC3="")</formula>
    </cfRule>
  </conditionalFormatting>
  <conditionalFormatting sqref="AD3:AD2002">
    <cfRule type="expression" dxfId="169" priority="17" stopIfTrue="1">
      <formula>AND($A3&lt;&gt;"",$AD3&lt;&gt;"",OR(NOT(ISNUMBER($AD3)),$AD3&lt;DATE(2020,1,1)))</formula>
    </cfRule>
    <cfRule type="expression" dxfId="168" priority="25" stopIfTrue="1">
      <formula>AND($A3&lt;&gt;"",$AD3="")</formula>
    </cfRule>
  </conditionalFormatting>
  <conditionalFormatting sqref="AE3:AE2002">
    <cfRule type="expression" dxfId="167" priority="18" stopIfTrue="1">
      <formula>AND($A3&lt;&gt;"",$AE3&lt;&gt;"",OR(NOT(ISNUMBER($AE3)),$AE3&lt;DATE(2020,1,1)))</formula>
    </cfRule>
    <cfRule type="expression" dxfId="166" priority="26" stopIfTrue="1">
      <formula>AND($A3&lt;&gt;"",COUNTIFS(dvStatus,$G3,dvStatusActive,TRUE)&gt;0,$AE3="")</formula>
    </cfRule>
  </conditionalFormatting>
  <conditionalFormatting sqref="AF3:AF2002">
    <cfRule type="expression" dxfId="165" priority="19" stopIfTrue="1">
      <formula>AND($A3&lt;&gt;"",$AF3&lt;&gt;"",OR(NOT(ISNUMBER($AF3)),$AF3&lt;DATE(2020,1,1)))</formula>
    </cfRule>
    <cfRule type="expression" dxfId="164" priority="27" stopIfTrue="1">
      <formula>AND($A3&lt;&gt;"",OR(AND(COUNTIFS(dvStatus,$G3,dvStatusDone,TRUE)&gt;0,NOT(COUNTIFS(dvStatus,$G3,dvStatusCancelled,TRUE)&gt;0),$AF3=""),AND(COUNTIFS(dvStatus,$G3,dvStatusCancelled,TRUE)&gt;0,$AF3&lt;&gt;"")))</formula>
    </cfRule>
  </conditionalFormatting>
  <conditionalFormatting sqref="AG3:AG2002">
    <cfRule type="expression" dxfId="163" priority="20" stopIfTrue="1">
      <formula>AND($A3&lt;&gt;"",$AG3&lt;&gt;"",OR(NOT(ISNUMBER($AG3)),$AG3&lt;DATE(2020,1,1)))</formula>
    </cfRule>
    <cfRule type="expression" dxfId="162" priority="28" stopIfTrue="1">
      <formula>AND($A3&lt;&gt;"",OR(AND($I3=LOOKUP(2,1/(dvDeliveryHealth&lt;&gt;""),dvDeliveryHealth),$AG3=""),AND($I3&lt;&gt;LOOKUP(2,1/(dvDeliveryHealth&lt;&gt;""),dvDeliveryHealth),$AG3&lt;&gt;"")))</formula>
    </cfRule>
  </conditionalFormatting>
  <conditionalFormatting sqref="AH3:AH2002">
    <cfRule type="expression" dxfId="161" priority="21" stopIfTrue="1">
      <formula>AND($A3&lt;&gt;"",$AH3&lt;&gt;"",OR(NOT(ISNUMBER($AH3)),$AH3&lt;DATE(2020,1,1)))</formula>
    </cfRule>
    <cfRule type="expression" dxfId="160" priority="29" stopIfTrue="1">
      <formula>AND($A3&lt;&gt;"",OR(AND($J3&lt;&gt;"",$AH3=""),AND($J3="",$AH3&lt;&gt;"")))</formula>
    </cfRule>
  </conditionalFormatting>
  <conditionalFormatting sqref="B3:B2002">
    <cfRule type="expression" dxfId="159" priority="5" stopIfTrue="1">
      <formula>AND($A3&lt;&gt;"",$B3="")</formula>
    </cfRule>
    <cfRule type="expression" dxfId="158" priority="8" stopIfTrue="1">
      <formula>AND($B3&lt;&gt;"",COUNTIF(dvTypes,$B3)=0)</formula>
    </cfRule>
  </conditionalFormatting>
  <conditionalFormatting sqref="C3:C2002">
    <cfRule type="expression" dxfId="157" priority="6" stopIfTrue="1">
      <formula>AND($A3&lt;&gt;"",$C3="")</formula>
    </cfRule>
    <cfRule type="expression" dxfId="156" priority="32">
      <formula>AND($A3&lt;&gt;"",$S3&gt;=1,$S3&lt;=3)</formula>
    </cfRule>
  </conditionalFormatting>
  <conditionalFormatting sqref="D3:D2002">
    <cfRule type="expression" dxfId="155" priority="13" stopIfTrue="1">
      <formula>AND($A3&lt;&gt;"",$D3&lt;&gt;"",OR($D3=$A3,COUNTIF(dvItemIDs,$D3)=0,$O3=$A3,$P3=$A3,$Q3=$A3,$R3=$A3,AND($N3&gt;0,$N3&gt;=$S3)))</formula>
    </cfRule>
  </conditionalFormatting>
  <conditionalFormatting sqref="E3:E2002">
    <cfRule type="expression" dxfId="154" priority="11" stopIfTrue="1">
      <formula>AND($E3&lt;&gt;"",COUNTIF(dvPriorities,$E3)=0)</formula>
    </cfRule>
  </conditionalFormatting>
  <conditionalFormatting sqref="F3:F2002">
    <cfRule type="expression" dxfId="153" priority="14" stopIfTrue="1">
      <formula>AND($A3&lt;&gt;"",$F3&lt;&gt;"",OR(NOT(ISNUMBER($F3)),$F3&lt;DATE(2020,1,1)))</formula>
    </cfRule>
    <cfRule type="expression" dxfId="152" priority="22" stopIfTrue="1">
      <formula>AND(ISNUMBER($F3),ISNUMBER($H3),$F3&gt;$H3)</formula>
    </cfRule>
  </conditionalFormatting>
  <conditionalFormatting sqref="G3:G2002">
    <cfRule type="expression" dxfId="151" priority="7" stopIfTrue="1">
      <formula>AND($A3&lt;&gt;"",$G3="")</formula>
    </cfRule>
    <cfRule type="expression" dxfId="150" priority="9" stopIfTrue="1">
      <formula>AND($G3&lt;&gt;"",COUNTIF(dvStatus,$G3)=0)</formula>
    </cfRule>
  </conditionalFormatting>
  <conditionalFormatting sqref="H3:H2002">
    <cfRule type="expression" dxfId="149" priority="15" stopIfTrue="1">
      <formula>AND($A3&lt;&gt;"",$H3&lt;&gt;"",OR(NOT(ISNUMBER($H3)),$H3&lt;DATE(2020,1,1)))</formula>
    </cfRule>
    <cfRule type="expression" dxfId="148" priority="23" stopIfTrue="1">
      <formula>AND(ISNUMBER($F3),ISNUMBER($H3),$F3&gt;$H3)</formula>
    </cfRule>
    <cfRule type="expression" dxfId="147" priority="37">
      <formula>AND(ISNUMBER($Y3),$Y3&lt;0)</formula>
    </cfRule>
    <cfRule type="expression" dxfId="146" priority="45">
      <formula>AND(COUNTIFS(dvStatus,$G3,dvStatusActive,TRUE)&gt;0,$H3="")</formula>
    </cfRule>
  </conditionalFormatting>
  <conditionalFormatting sqref="I3:I2002">
    <cfRule type="expression" dxfId="145" priority="10" stopIfTrue="1">
      <formula>AND($I3&lt;&gt;"",COUNTIF(dvDeliveryHealth,$I3)=0)</formula>
    </cfRule>
    <cfRule type="expression" dxfId="144" priority="41">
      <formula>AND($A3&lt;&gt;"",COUNTIFS(dvStatus,$G3,dvStatusActive,TRUE)&gt;0,$I3="")</formula>
    </cfRule>
    <cfRule type="expression" dxfId="143" priority="42" stopIfTrue="1">
      <formula>AND($I3&lt;&gt;"",MATCH($I3,dvDeliveryHealth,0)&gt;=3)</formula>
    </cfRule>
    <cfRule type="expression" dxfId="142" priority="43" stopIfTrue="1">
      <formula>AND($I3&lt;&gt;"",MATCH($I3,dvDeliveryHealth,0)=2)</formula>
    </cfRule>
    <cfRule type="expression" dxfId="141" priority="44" stopIfTrue="1">
      <formula>$I3=INDEX(dvDeliveryHealth,1)</formula>
    </cfRule>
  </conditionalFormatting>
  <conditionalFormatting sqref="J3:J2002">
    <cfRule type="expression" dxfId="140" priority="39">
      <formula>AND($A3&lt;&gt;"",COUNTIFS(dvStatus,$G3,dvStatusActive,TRUE)&gt;0,OR($AH3="",TODAY()-$AH3&gt;=cfgStaleDays))</formula>
    </cfRule>
  </conditionalFormatting>
  <conditionalFormatting sqref="K3:K2002">
    <cfRule type="expression" dxfId="139" priority="12" stopIfTrue="1">
      <formula>AND($K3&lt;&gt;"",COUNTIF(dvPeople,$K3)=0)</formula>
    </cfRule>
    <cfRule type="expression" dxfId="138" priority="40">
      <formula>AND($A3&lt;&gt;"",COUNTIFS(dvStatus,$G3,dvStatusActive,TRUE)&gt;0,$K3="")</formula>
    </cfRule>
  </conditionalFormatting>
  <conditionalFormatting sqref="L3:L2002">
    <cfRule type="expression" dxfId="137" priority="30" stopIfTrue="1">
      <formula>AND($L3&lt;&gt;"",$W3&lt;&gt;TRUE)</formula>
    </cfRule>
  </conditionalFormatting>
  <conditionalFormatting sqref="Z3:Z2002">
    <cfRule type="cellIs" dxfId="136" priority="33" operator="equal">
      <formula>"R"</formula>
    </cfRule>
    <cfRule type="cellIs" dxfId="135" priority="34" operator="equal">
      <formula>"A"</formula>
    </cfRule>
    <cfRule type="cellIs" dxfId="134" priority="35" operator="equal">
      <formula>"G"</formula>
    </cfRule>
    <cfRule type="cellIs" dxfId="133" priority="36" operator="equal">
      <formula>"–"</formula>
    </cfRule>
  </conditionalFormatting>
  <dataValidations count="7">
    <dataValidation type="list" allowBlank="1" showInputMessage="1" showErrorMessage="1" errorTitle="Check this value" error="Use a value allowed by this field's rule." promptTitle="Choose a value" prompt="Use the dropdown list." sqref="B3:B2002" xr:uid="{00000000-0002-0000-0200-000000000000}">
      <formula1>dvTypes</formula1>
    </dataValidation>
    <dataValidation type="list" allowBlank="1" showInputMessage="1" showErrorMessage="1" errorTitle="Check this value" error="Use a value allowed by this field's rule." promptTitle="Choose a value" prompt="Use the dropdown list." sqref="D3:D2002" xr:uid="{00000000-0002-0000-0200-000001000000}">
      <formula1>dvItemIDs</formula1>
    </dataValidation>
    <dataValidation type="list" allowBlank="1" showInputMessage="1" showErrorMessage="1" errorTitle="Check this value" error="Use a value allowed by this field's rule." promptTitle="Choose a value" prompt="Use the dropdown list." sqref="E3:E2002" xr:uid="{00000000-0002-0000-0200-000002000000}">
      <formula1>dvPriorities</formula1>
    </dataValidation>
    <dataValidation type="date" operator="greaterThanOrEqual" allowBlank="1" showInputMessage="1" showErrorMessage="1" errorTitle="Use a valid date" error="Enter a real date from 2020 onwards." promptTitle="Enter a date" prompt="Use 13 Jul 2026. Ctrl+; inserts today." sqref="F3:F2002 AC3:AH2002 H3:H2002" xr:uid="{00000000-0002-0000-0200-000003000000}">
      <formula1>DATE(2020,1,1)</formula1>
    </dataValidation>
    <dataValidation type="list" allowBlank="1" showInputMessage="1" showErrorMessage="1" errorTitle="Check this value" error="Use a value allowed by this field's rule." promptTitle="Choose a value" prompt="Use the dropdown list." sqref="G3:G2002" xr:uid="{00000000-0002-0000-0200-000004000000}">
      <formula1>dvStatus</formula1>
    </dataValidation>
    <dataValidation type="list" allowBlank="1" showInputMessage="1" showErrorMessage="1" errorTitle="Check this value" error="Use a value allowed by this field's rule." promptTitle="Choose a value" prompt="Use the dropdown list." sqref="I3:I2002" xr:uid="{00000000-0002-0000-0200-000006000000}">
      <formula1>dvDeliveryHealth</formula1>
    </dataValidation>
    <dataValidation type="list" allowBlank="1" showInputMessage="1" showErrorMessage="1" errorTitle="Check this value" error="Use a value allowed by this field's rule." promptTitle="Choose a value" prompt="Use the dropdown list." sqref="K3:K2002" xr:uid="{00000000-0002-0000-0200-000007000000}">
      <formula1>dvPeople</formula1>
    </dataValidation>
  </dataValidations>
  <pageMargins left="0.25" right="0.25" top="0.35" bottom="0.35" header="0.3" footer="0.3"/>
  <pageSetup paperSize="9" fitToHeight="0" orientation="landscape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E6655"/>
    <pageSetUpPr fitToPage="1"/>
  </sheetPr>
  <dimension ref="A1:T4"/>
  <sheetViews>
    <sheetView showGridLine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baseColWidth="10" defaultColWidth="9" defaultRowHeight="24" customHeight="1" outlineLevelCol="1" x14ac:dyDescent="0.2"/>
  <cols>
    <col min="1" max="1" width="9.796875" customWidth="1"/>
    <col min="2" max="2" width="12.796875" customWidth="1"/>
    <col min="3" max="3" width="32.796875" customWidth="1"/>
    <col min="4" max="4" width="38.796875" customWidth="1"/>
    <col min="5" max="5" width="11.796875" customWidth="1"/>
    <col min="6" max="7" width="12.796875" customWidth="1"/>
    <col min="8" max="9" width="9.796875" customWidth="1"/>
    <col min="10" max="10" width="10.796875" customWidth="1"/>
    <col min="11" max="11" width="32.796875" customWidth="1"/>
    <col min="12" max="12" width="14.796875" customWidth="1"/>
    <col min="13" max="13" width="6.796875" hidden="1" customWidth="1" outlineLevel="1"/>
    <col min="14" max="14" width="9.796875" hidden="1" customWidth="1" outlineLevel="1"/>
    <col min="15" max="17" width="12.796875" hidden="1" customWidth="1" outlineLevel="1"/>
    <col min="18" max="19" width="18.796875" hidden="1" customWidth="1" outlineLevel="1"/>
    <col min="20" max="20" width="9.19921875" collapsed="1"/>
  </cols>
  <sheetData>
    <row r="1" spans="1:19" ht="32" customHeight="1" x14ac:dyDescent="0.2">
      <c r="A1" s="42" t="s">
        <v>84</v>
      </c>
      <c r="B1" s="42"/>
      <c r="C1" s="42"/>
      <c r="D1" s="52" t="str">
        <f>IF(ROWS(tblRAID[RaidID])&gt;2000,"⚠ Supported capacity exceeded: RAID has "&amp;ROWS(tblRAID[RaidID])&amp;" rows; views and validation support 2000","Risks, assumptions, issues, dependencies and decisions")</f>
        <v>Risks, assumptions, issues, dependencies and decisions</v>
      </c>
      <c r="E1" s="52"/>
      <c r="F1" s="52"/>
      <c r="G1" s="52"/>
      <c r="H1" s="52"/>
      <c r="I1" s="52"/>
      <c r="J1" s="52"/>
      <c r="K1" s="52"/>
      <c r="L1" s="52"/>
    </row>
    <row r="2" spans="1:19" ht="34" customHeight="1" x14ac:dyDescent="0.2">
      <c r="A2" s="18" t="s">
        <v>85</v>
      </c>
      <c r="B2" s="18" t="s">
        <v>4</v>
      </c>
      <c r="C2" s="18" t="s">
        <v>33</v>
      </c>
      <c r="D2" s="18" t="s">
        <v>86</v>
      </c>
      <c r="E2" s="18" t="s">
        <v>87</v>
      </c>
      <c r="F2" s="18" t="s">
        <v>2</v>
      </c>
      <c r="G2" s="18" t="s">
        <v>36</v>
      </c>
      <c r="H2" s="18" t="s">
        <v>88</v>
      </c>
      <c r="I2" s="18" t="s">
        <v>89</v>
      </c>
      <c r="J2" s="18" t="s">
        <v>6</v>
      </c>
      <c r="K2" s="18" t="s">
        <v>90</v>
      </c>
      <c r="L2" s="18" t="s">
        <v>91</v>
      </c>
      <c r="M2" s="18" t="s">
        <v>92</v>
      </c>
      <c r="N2" s="18" t="s">
        <v>11</v>
      </c>
      <c r="O2" s="18" t="s">
        <v>93</v>
      </c>
      <c r="P2" s="18" t="s">
        <v>94</v>
      </c>
      <c r="Q2" s="18" t="s">
        <v>54</v>
      </c>
      <c r="R2" s="18" t="s">
        <v>61</v>
      </c>
      <c r="S2" s="18" t="s">
        <v>62</v>
      </c>
    </row>
    <row r="3" spans="1:19" ht="44" customHeight="1" x14ac:dyDescent="0.2">
      <c r="A3" s="19" t="s">
        <v>95</v>
      </c>
      <c r="B3" s="20" t="s">
        <v>96</v>
      </c>
      <c r="C3" s="24" t="s">
        <v>97</v>
      </c>
      <c r="D3" s="35" t="s">
        <v>98</v>
      </c>
      <c r="E3" s="22" t="s">
        <v>63</v>
      </c>
      <c r="F3" s="20" t="s">
        <v>70</v>
      </c>
      <c r="G3" s="20" t="s">
        <v>99</v>
      </c>
      <c r="H3" s="36">
        <v>3</v>
      </c>
      <c r="I3" s="36">
        <v>4</v>
      </c>
      <c r="J3" s="25" t="str">
        <f>IF(tblRAID[[#This Row],[Score]]="","",INDEX(tblSeverity[Severity],MATCH(tblRAID[[#This Row],[Score]],tblSeverity[MinScore],1)))</f>
        <v>High</v>
      </c>
      <c r="K3" s="35" t="s">
        <v>100</v>
      </c>
      <c r="L3" s="23">
        <v>46223</v>
      </c>
      <c r="M3" s="26">
        <f>IF(OR(tblRAID[[#This Row],[Prob]]="",tblRAID[[#This Row],[Impact]]="",COUNTIFS(dvRaidTypes,tblRAID[[#This Row],[Type]],dvRaidAlert,TRUE)=0),"",tblRAID[[#This Row],[Prob]]*tblRAID[[#This Row],[Impact]])</f>
        <v>12</v>
      </c>
      <c r="N3" s="25" t="str">
        <f>IF(tblRAID[[#This Row],[RelatedID]]="","",_xlfn.IFNA(INDEX(tblItems[Scope],MATCH(tblRAID[[#This Row],[RelatedID]],tblItems[ID],0)),""))</f>
        <v>I-1001</v>
      </c>
      <c r="O3" s="30">
        <v>46204</v>
      </c>
      <c r="P3" s="30"/>
      <c r="Q3" s="30">
        <v>46209</v>
      </c>
      <c r="R3" s="31"/>
      <c r="S3" s="31"/>
    </row>
    <row r="4" spans="1:19" ht="44" customHeight="1" x14ac:dyDescent="0.2">
      <c r="A4" s="19" t="s">
        <v>101</v>
      </c>
      <c r="B4" s="20" t="s">
        <v>102</v>
      </c>
      <c r="C4" s="24" t="s">
        <v>103</v>
      </c>
      <c r="D4" s="35" t="s">
        <v>104</v>
      </c>
      <c r="E4" s="22" t="s">
        <v>63</v>
      </c>
      <c r="F4" s="20" t="s">
        <v>70</v>
      </c>
      <c r="G4" s="20" t="s">
        <v>99</v>
      </c>
      <c r="H4" s="36"/>
      <c r="I4" s="36"/>
      <c r="J4" s="25" t="str">
        <f>IF(tblRAID[[#This Row],[Score]]="","",INDEX(tblSeverity[Severity],MATCH(tblRAID[[#This Row],[Score]],tblSeverity[MinScore],1)))</f>
        <v/>
      </c>
      <c r="K4" s="35" t="s">
        <v>105</v>
      </c>
      <c r="L4" s="23">
        <v>46218</v>
      </c>
      <c r="M4" s="26" t="str">
        <f>IF(OR(tblRAID[[#This Row],[Prob]]="",tblRAID[[#This Row],[Impact]]="",COUNTIFS(dvRaidTypes,tblRAID[[#This Row],[Type]],dvRaidAlert,TRUE)=0),"",tblRAID[[#This Row],[Prob]]*tblRAID[[#This Row],[Impact]])</f>
        <v/>
      </c>
      <c r="N4" s="25" t="str">
        <f>IF(tblRAID[[#This Row],[RelatedID]]="","",_xlfn.IFNA(INDEX(tblItems[Scope],MATCH(tblRAID[[#This Row],[RelatedID]],tblItems[ID],0)),""))</f>
        <v>I-1001</v>
      </c>
      <c r="O4" s="30">
        <v>46209</v>
      </c>
      <c r="P4" s="30"/>
      <c r="Q4" s="30">
        <v>46209</v>
      </c>
      <c r="R4" s="31"/>
      <c r="S4" s="31"/>
    </row>
  </sheetData>
  <mergeCells count="2">
    <mergeCell ref="A1:C1"/>
    <mergeCell ref="D1:L1"/>
  </mergeCells>
  <conditionalFormatting sqref="A3:A2002">
    <cfRule type="expression" dxfId="94" priority="2" stopIfTrue="1">
      <formula>AND($A3&lt;&gt;"",COUNTIF($A$3:$A$2002,$A3)&gt;1)</formula>
    </cfRule>
    <cfRule type="expression" dxfId="93" priority="3" stopIfTrue="1">
      <formula>AND($A3&lt;&gt;"",OR(LEFT($A3,LEN(cfgRaidIDPrefix))&lt;&gt;cfgRaidIDPrefix,LEN($A3)&lt;=LEN(cfgRaidIDPrefix),NOT(IFERROR(AND(VALUE(MID($A3,LEN(cfgRaidIDPrefix)+1,99))&gt;=1,INT(VALUE(MID($A3,LEN(cfgRaidIDPrefix)+1,99)))=VALUE(MID($A3,LEN(cfgRaidIDPrefix)+1,99))),FALSE))))</formula>
    </cfRule>
    <cfRule type="expression" dxfId="92" priority="4" stopIfTrue="1">
      <formula>AND($A3="",OR($B3&lt;&gt;"",$C3&lt;&gt;"",$D3&lt;&gt;"",$E3&lt;&gt;"",$F3&lt;&gt;"",$G3&lt;&gt;"",$H3&lt;&gt;"",$I3&lt;&gt;"",$K3&lt;&gt;"",$L3&lt;&gt;""))</formula>
    </cfRule>
  </conditionalFormatting>
  <conditionalFormatting sqref="A3:C2002 E3:Q2002">
    <cfRule type="expression" priority="1" stopIfTrue="1">
      <formula>AND($A3="",COUNTA($B3:$I3,$K3:$L3)=0)</formula>
    </cfRule>
  </conditionalFormatting>
  <conditionalFormatting sqref="B3:B2002">
    <cfRule type="expression" dxfId="91" priority="5" stopIfTrue="1">
      <formula>AND($A3&lt;&gt;"",$B3="")</formula>
    </cfRule>
    <cfRule type="expression" dxfId="90" priority="8" stopIfTrue="1">
      <formula>AND($B3&lt;&gt;"",COUNTIF(dvRaidTypes,$B3)=0)</formula>
    </cfRule>
  </conditionalFormatting>
  <conditionalFormatting sqref="C3:C2002">
    <cfRule type="expression" dxfId="89" priority="6" stopIfTrue="1">
      <formula>AND($A3&lt;&gt;"",$C3="")</formula>
    </cfRule>
  </conditionalFormatting>
  <conditionalFormatting sqref="E3:E2002">
    <cfRule type="expression" dxfId="88" priority="11" stopIfTrue="1">
      <formula>AND($E3&lt;&gt;"",COUNTIF(dvItemIDs,$E3)=0)</formula>
    </cfRule>
  </conditionalFormatting>
  <conditionalFormatting sqref="F3:F2002">
    <cfRule type="expression" dxfId="87" priority="10" stopIfTrue="1">
      <formula>AND($F3&lt;&gt;"",COUNTIF(dvPeople,$F3)=0)</formula>
    </cfRule>
  </conditionalFormatting>
  <conditionalFormatting sqref="G3:G2002">
    <cfRule type="expression" dxfId="86" priority="7" stopIfTrue="1">
      <formula>AND($A3&lt;&gt;"",$G3="")</formula>
    </cfRule>
    <cfRule type="expression" dxfId="85" priority="9" stopIfTrue="1">
      <formula>AND($G3&lt;&gt;"",COUNTIF(dvRaidStatuses,$G3)=0)</formula>
    </cfRule>
  </conditionalFormatting>
  <conditionalFormatting sqref="H3:H2002">
    <cfRule type="expression" dxfId="84" priority="12" stopIfTrue="1">
      <formula>AND($A3&lt;&gt;"",OR(AND(COUNTIFS(dvRaidTypes,$B3,dvRaidAlert,TRUE)&gt;0,$H3=""),AND(AND(COUNTIF(dvRaidTypes,$B3)&gt;0,COUNTIFS(dvRaidTypes,$B3,dvRaidAlert,TRUE)=0),$H3&lt;&gt;""),AND($H3&lt;&gt;"",OR(NOT(ISNUMBER($H3)),$H3&lt;1,$H3&gt;5,INT($H3)&lt;&gt;$H3))))</formula>
    </cfRule>
  </conditionalFormatting>
  <conditionalFormatting sqref="H3:J2002">
    <cfRule type="expression" dxfId="83" priority="16" stopIfTrue="1">
      <formula>AND($A3&lt;&gt;"",AND(COUNTIF(dvRaidTypes,$B3)&gt;0,COUNTIFS(dvRaidTypes,$B3,dvRaidAlert,TRUE)=0))</formula>
    </cfRule>
  </conditionalFormatting>
  <conditionalFormatting sqref="I3:I2002">
    <cfRule type="expression" dxfId="82" priority="13" stopIfTrue="1">
      <formula>AND($A3&lt;&gt;"",OR(AND(COUNTIFS(dvRaidTypes,$B3,dvRaidAlert,TRUE)&gt;0,$I3=""),AND(AND(COUNTIF(dvRaidTypes,$B3)&gt;0,COUNTIFS(dvRaidTypes,$B3,dvRaidAlert,TRUE)=0),$I3&lt;&gt;""),AND($I3&lt;&gt;"",OR(NOT(ISNUMBER($I3)),$I3&lt;1,$I3&gt;5,INT($I3)&lt;&gt;$I3))))</formula>
    </cfRule>
  </conditionalFormatting>
  <conditionalFormatting sqref="J3:J2002">
    <cfRule type="expression" dxfId="81" priority="15" stopIfTrue="1">
      <formula>AND($A3&lt;&gt;"",OR(AND(COUNTIFS(dvRaidTypes,$B3,dvRaidAlert,TRUE)&gt;0,$J3=""),AND($M3&lt;&gt;"",OR(ISERROR($J3),$J3="",IFERROR(COUNTIF(dvSeverity,$J3)=0,TRUE)))))</formula>
    </cfRule>
    <cfRule type="expression" dxfId="80" priority="25" stopIfTrue="1">
      <formula>AND(COUNTA(dvSeverity)&gt;=2,$J3&lt;&gt;"",COUNTIF(dvSeverity,$J3)&gt;0,MATCH($J3,dvSeverity,0)&gt;=MAX(2,COUNTA(dvSeverity)-1))</formula>
    </cfRule>
    <cfRule type="expression" dxfId="79" priority="26" stopIfTrue="1">
      <formula>AND($J3&lt;&gt;"",$J3=INDEX(dvSeverity,1))</formula>
    </cfRule>
    <cfRule type="expression" dxfId="78" priority="27" stopIfTrue="1">
      <formula>AND($J3&lt;&gt;"",COUNTIF(dvSeverity,$J3)&gt;0,$J3&lt;&gt;INDEX(dvSeverity,1),NOT(AND(COUNTA(dvSeverity)&gt;=2,MATCH($J3,dvSeverity,0)&gt;=MAX(2,COUNTA(dvSeverity)-1))))</formula>
    </cfRule>
  </conditionalFormatting>
  <conditionalFormatting sqref="K3:K2002">
    <cfRule type="expression" dxfId="77" priority="30">
      <formula>AND($A3&lt;&gt;"",COUNTIFS(dvRaidStatuses,$G3,dvRaidClosed,TRUE)=0,COUNTIFS(dvRaidTypes,$B3,dvRaidAlert,TRUE)&gt;0,$M3&lt;&gt;"",$M3&gt;=cfgAlertSevScore,$K3="")</formula>
    </cfRule>
  </conditionalFormatting>
  <conditionalFormatting sqref="L3:L2002">
    <cfRule type="expression" dxfId="76" priority="17" stopIfTrue="1">
      <formula>AND($A3&lt;&gt;"",$L3&lt;&gt;"",OR(NOT(ISNUMBER($L3)),$L3&lt;DATE(2020,1,1)))</formula>
    </cfRule>
    <cfRule type="expression" dxfId="75" priority="24" stopIfTrue="1">
      <formula>AND(ISNUMBER($O3),ISNUMBER($L3),$L3&lt;$O3)</formula>
    </cfRule>
    <cfRule type="expression" dxfId="74" priority="28">
      <formula>AND($L3&lt;&gt;"",$L3&lt;TODAY(),COUNTIFS(dvRaidStatuses,$G3,dvRaidClosed,TRUE)=0)</formula>
    </cfRule>
    <cfRule type="expression" dxfId="73" priority="29">
      <formula>AND($A3&lt;&gt;"",COUNTIFS(dvRaidStatuses,$G3,dvRaidClosed,TRUE)=0,$L3="")</formula>
    </cfRule>
  </conditionalFormatting>
  <conditionalFormatting sqref="M3:M2002">
    <cfRule type="expression" dxfId="72" priority="14" stopIfTrue="1">
      <formula>AND($A3&lt;&gt;"",OR(AND(ISNUMBER($H3),ISNUMBER($I3),$M3&lt;&gt;$H3*$I3),AND(OR($H3="",$I3=""),$M3&lt;&gt;"")))</formula>
    </cfRule>
  </conditionalFormatting>
  <conditionalFormatting sqref="O3:O2002">
    <cfRule type="expression" dxfId="71" priority="18" stopIfTrue="1">
      <formula>AND($A3&lt;&gt;"",$O3&lt;&gt;"",OR(NOT(ISNUMBER($O3)),$O3&lt;DATE(2020,1,1)))</formula>
    </cfRule>
    <cfRule type="expression" dxfId="70" priority="21" stopIfTrue="1">
      <formula>AND($A3&lt;&gt;"",$O3="")</formula>
    </cfRule>
  </conditionalFormatting>
  <conditionalFormatting sqref="P3:P2002">
    <cfRule type="expression" dxfId="69" priority="19" stopIfTrue="1">
      <formula>AND($A3&lt;&gt;"",$P3&lt;&gt;"",OR(NOT(ISNUMBER($P3)),$P3&lt;DATE(2020,1,1)))</formula>
    </cfRule>
    <cfRule type="expression" dxfId="68" priority="23" stopIfTrue="1">
      <formula>AND($A3&lt;&gt;"",OR(AND(COUNTIFS(dvRaidStatuses,$G3,dvRaidClosed,TRUE)&gt;0,$P3=""),AND(COUNTIFS(dvRaidStatuses,$G3,dvRaidClosed,TRUE)=0,$P3&lt;&gt;"")))</formula>
    </cfRule>
  </conditionalFormatting>
  <conditionalFormatting sqref="Q3:Q2002">
    <cfRule type="expression" dxfId="67" priority="20" stopIfTrue="1">
      <formula>AND($A3&lt;&gt;"",$Q3&lt;&gt;"",OR(NOT(ISNUMBER($Q3)),$Q3&lt;DATE(2020,1,1)))</formula>
    </cfRule>
    <cfRule type="expression" dxfId="66" priority="22" stopIfTrue="1">
      <formula>AND($A3&lt;&gt;"",$Q3="")</formula>
    </cfRule>
  </conditionalFormatting>
  <dataValidations count="7">
    <dataValidation type="list" allowBlank="1" showInputMessage="1" showErrorMessage="1" errorTitle="Check this value" error="Use a value allowed by this field's rule." promptTitle="Choose a value" prompt="Use the dropdown list." sqref="B3:B2002" xr:uid="{00000000-0002-0000-0300-000000000000}">
      <formula1>dvRaidTypes</formula1>
    </dataValidation>
    <dataValidation type="list" allowBlank="1" showInputMessage="1" showErrorMessage="1" errorTitle="Check this value" error="Use a value allowed by this field's rule." promptTitle="Choose a value" prompt="Use the dropdown list." sqref="E3:E2002" xr:uid="{00000000-0002-0000-0300-000001000000}">
      <formula1>dvItemIDs</formula1>
    </dataValidation>
    <dataValidation type="list" allowBlank="1" showInputMessage="1" showErrorMessage="1" errorTitle="Check this value" error="Use a value allowed by this field's rule." promptTitle="Choose a value" prompt="Use the dropdown list." sqref="F3:F2002" xr:uid="{00000000-0002-0000-0300-000002000000}">
      <formula1>dvPeople</formula1>
    </dataValidation>
    <dataValidation type="list" allowBlank="1" showInputMessage="1" showErrorMessage="1" errorTitle="Check this value" error="Use a value allowed by this field's rule." promptTitle="Choose a value" prompt="Use the dropdown list." sqref="G3:G2002" xr:uid="{00000000-0002-0000-0300-000003000000}">
      <formula1>dvRaidStatuses</formula1>
    </dataValidation>
    <dataValidation type="date" operator="greaterThanOrEqual" allowBlank="1" showInputMessage="1" showErrorMessage="1" errorTitle="Use a valid date" error="Enter a real date from 2020 onwards." promptTitle="Enter a date" prompt="Use 13 Jul 2026. Ctrl+; inserts today." sqref="L3:L2002 O3:Q2002" xr:uid="{00000000-0002-0000-0300-000004000000}">
      <formula1>DATE(2020,1,1)</formula1>
    </dataValidation>
    <dataValidation type="custom" allowBlank="1" showInputMessage="1" showErrorMessage="1" errorTitle="Probability is not allowed" error="Enter a whole number from 1 to 5 for a Config alert type; leave this blank for every other type." promptTitle="Probability (1-5)" prompt="1 = unlikely; 5 = very likely. Config alert types only (Risk and Issue by default). Score = Probability × Impact (1-25)." sqref="H3:H2002" xr:uid="{00000000-0002-0000-0300-000008000000}">
      <formula1>OR(H3="",AND(COUNTIFS(dvRaidTypes,$B3,dvRaidAlert,TRUE)&gt;0,ISNUMBER(H3),H3=INT(H3),H3&gt;=1,H3&lt;=5))</formula1>
    </dataValidation>
    <dataValidation type="custom" allowBlank="1" showInputMessage="1" showErrorMessage="1" errorTitle="Impact is not allowed" error="Enter a whole number from 1 to 5 for a Config alert type; leave this blank for every other type." promptTitle="Impact (1-5)" prompt="1 = low; 5 = severe. Config alert types only (Risk and Issue by default). Score = Probability × Impact (1-25)." sqref="I3:I2002" xr:uid="{00000000-0002-0000-0300-000009000000}">
      <formula1>OR(I3="",AND(COUNTIFS(dvRaidTypes,$B3,dvRaidAlert,TRUE)&gt;0,ISNUMBER(I3),I3=INT(I3),I3&gt;=1,I3&lt;=5))</formula1>
    </dataValidation>
  </dataValidations>
  <pageMargins left="0.25" right="0.25" top="0.35" bottom="0.35" header="0.3" footer="0.3"/>
  <pageSetup paperSize="9" fitToHeight="0"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66788A"/>
    <pageSetUpPr fitToPage="1"/>
  </sheetPr>
  <dimension ref="A1:AN18"/>
  <sheetViews>
    <sheetView showGridLines="0" workbookViewId="0"/>
  </sheetViews>
  <sheetFormatPr baseColWidth="10" defaultColWidth="9" defaultRowHeight="24" customHeight="1" x14ac:dyDescent="0.2"/>
  <cols>
    <col min="1" max="1" width="26.796875" customWidth="1"/>
    <col min="2" max="2" width="12.796875" customWidth="1"/>
    <col min="3" max="3" width="42.796875" customWidth="1"/>
    <col min="4" max="4" width="2.796875" customWidth="1"/>
    <col min="5" max="5" width="16.796875" customWidth="1"/>
    <col min="6" max="6" width="12.796875" customWidth="1"/>
    <col min="7" max="7" width="11.796875" customWidth="1"/>
    <col min="8" max="8" width="16.796875" customWidth="1"/>
    <col min="9" max="9" width="12.796875" customWidth="1"/>
    <col min="10" max="10" width="2.796875" customWidth="1"/>
    <col min="11" max="11" width="15.796875" customWidth="1"/>
    <col min="12" max="12" width="8.796875" customWidth="1"/>
    <col min="13" max="13" width="2.796875" customWidth="1"/>
    <col min="14" max="14" width="11.796875" customWidth="1"/>
    <col min="15" max="15" width="2.796875" customWidth="1"/>
    <col min="16" max="16" width="12.796875" customWidth="1"/>
    <col min="17" max="17" width="2.796875" customWidth="1"/>
    <col min="18" max="18" width="15.796875" customWidth="1"/>
    <col min="19" max="19" width="11.796875" customWidth="1"/>
    <col min="20" max="20" width="13.796875" customWidth="1"/>
    <col min="21" max="21" width="2.796875" customWidth="1"/>
    <col min="22" max="22" width="16.796875" customWidth="1"/>
    <col min="23" max="23" width="11.796875" customWidth="1"/>
    <col min="24" max="24" width="12.796875" customWidth="1"/>
    <col min="25" max="25" width="2.796875" customWidth="1"/>
    <col min="26" max="27" width="12.796875" customWidth="1"/>
    <col min="28" max="28" width="2.796875" customWidth="1"/>
    <col min="29" max="29" width="19.796875" customWidth="1"/>
    <col min="30" max="30" width="2.796875" customWidth="1"/>
    <col min="31" max="31" width="14.796875" customWidth="1"/>
    <col min="32" max="32" width="17.796875" customWidth="1"/>
    <col min="33" max="33" width="13.796875" customWidth="1"/>
    <col min="34" max="34" width="2.796875" customWidth="1"/>
    <col min="35" max="40" width="9.796875" customWidth="1"/>
  </cols>
  <sheetData>
    <row r="1" spans="1:40" ht="32" customHeight="1" x14ac:dyDescent="0.2">
      <c r="A1" s="42" t="s">
        <v>106</v>
      </c>
      <c r="B1" s="42"/>
      <c r="C1" s="42"/>
      <c r="D1" s="52" t="str">
        <f>IF(MAX(ROWS(tblStatuses[Status]),ROWS(tblTypes[Type]),ROWS(tblPriorities[Priority]),ROWS(tblTeams[Team]),ROWS(tblRaidTypes[RaidType]),ROWS(tblRaidStatuses[RaidStatus]),ROWS(tblSeverity[Severity]),ROWS(tblDeliveryHealth[Delivery Health]),ROWS(tblPeople[Person]))&gt;500,"⚠ A Config list exceeds the supported 500-row capacity","Settings, taxonomy, workflow roles and people")</f>
        <v>Settings, taxonomy, workflow roles and people</v>
      </c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3" spans="1:40" ht="34" customHeight="1" x14ac:dyDescent="0.2">
      <c r="A3" s="37" t="s">
        <v>107</v>
      </c>
      <c r="B3" s="37" t="s">
        <v>108</v>
      </c>
      <c r="C3" s="37" t="s">
        <v>109</v>
      </c>
      <c r="E3" s="37" t="s">
        <v>36</v>
      </c>
      <c r="F3" s="37" t="s">
        <v>142</v>
      </c>
      <c r="G3" s="37" t="s">
        <v>143</v>
      </c>
      <c r="H3" s="37" t="s">
        <v>144</v>
      </c>
      <c r="I3" s="37" t="s">
        <v>145</v>
      </c>
      <c r="K3" s="37" t="s">
        <v>4</v>
      </c>
      <c r="L3" s="37" t="s">
        <v>44</v>
      </c>
      <c r="N3" s="37" t="s">
        <v>35</v>
      </c>
      <c r="P3" s="37" t="s">
        <v>153</v>
      </c>
      <c r="R3" s="37" t="s">
        <v>164</v>
      </c>
      <c r="S3" s="37" t="s">
        <v>165</v>
      </c>
      <c r="T3" s="37" t="s">
        <v>166</v>
      </c>
      <c r="V3" s="37" t="s">
        <v>170</v>
      </c>
      <c r="W3" s="37" t="s">
        <v>171</v>
      </c>
      <c r="X3" s="37" t="s">
        <v>145</v>
      </c>
      <c r="Z3" s="37" t="s">
        <v>6</v>
      </c>
      <c r="AA3" s="37" t="s">
        <v>173</v>
      </c>
      <c r="AC3" s="37" t="s">
        <v>1</v>
      </c>
      <c r="AE3" s="37" t="s">
        <v>180</v>
      </c>
      <c r="AF3" s="37" t="s">
        <v>181</v>
      </c>
      <c r="AG3" s="37" t="s">
        <v>153</v>
      </c>
      <c r="AI3" s="53" t="s">
        <v>183</v>
      </c>
      <c r="AJ3" s="53"/>
      <c r="AK3" s="53"/>
      <c r="AL3" s="53"/>
      <c r="AM3" s="53"/>
      <c r="AN3" s="53"/>
    </row>
    <row r="4" spans="1:40" ht="24" customHeight="1" x14ac:dyDescent="0.2">
      <c r="A4" s="12" t="s">
        <v>110</v>
      </c>
      <c r="B4" s="38">
        <v>5</v>
      </c>
      <c r="C4" s="39" t="s">
        <v>111</v>
      </c>
      <c r="E4" s="20" t="s">
        <v>146</v>
      </c>
      <c r="F4" s="40" t="b">
        <v>0</v>
      </c>
      <c r="G4" s="40" t="b">
        <v>0</v>
      </c>
      <c r="H4" s="40" t="b">
        <v>0</v>
      </c>
      <c r="I4" s="40" t="b">
        <v>0</v>
      </c>
      <c r="K4" s="20" t="s">
        <v>64</v>
      </c>
      <c r="L4" s="36">
        <v>1</v>
      </c>
      <c r="N4" s="20" t="s">
        <v>160</v>
      </c>
      <c r="P4" s="20" t="s">
        <v>163</v>
      </c>
      <c r="R4" s="20" t="s">
        <v>96</v>
      </c>
      <c r="S4" s="40" t="b">
        <v>1</v>
      </c>
      <c r="T4" s="40" t="b">
        <v>0</v>
      </c>
      <c r="V4" s="20" t="s">
        <v>99</v>
      </c>
      <c r="W4" s="40" t="b">
        <v>0</v>
      </c>
      <c r="X4" s="40" t="b">
        <v>0</v>
      </c>
      <c r="Z4" s="20" t="s">
        <v>174</v>
      </c>
      <c r="AA4" s="36">
        <v>1</v>
      </c>
      <c r="AC4" s="20" t="s">
        <v>74</v>
      </c>
      <c r="AE4" s="20" t="s">
        <v>70</v>
      </c>
      <c r="AF4" s="20" t="s">
        <v>182</v>
      </c>
      <c r="AG4" s="20" t="s">
        <v>163</v>
      </c>
      <c r="AI4" s="54" t="s">
        <v>184</v>
      </c>
      <c r="AJ4" s="54"/>
      <c r="AK4" s="54"/>
      <c r="AL4" s="54"/>
      <c r="AM4" s="54"/>
      <c r="AN4" s="54"/>
    </row>
    <row r="5" spans="1:40" ht="24" customHeight="1" x14ac:dyDescent="0.2">
      <c r="A5" s="12" t="s">
        <v>112</v>
      </c>
      <c r="B5" s="38">
        <v>3</v>
      </c>
      <c r="C5" s="39" t="s">
        <v>113</v>
      </c>
      <c r="E5" s="20" t="s">
        <v>83</v>
      </c>
      <c r="F5" s="40" t="b">
        <v>0</v>
      </c>
      <c r="G5" s="40" t="b">
        <v>0</v>
      </c>
      <c r="H5" s="40" t="b">
        <v>0</v>
      </c>
      <c r="I5" s="40" t="b">
        <v>0</v>
      </c>
      <c r="K5" s="20" t="s">
        <v>150</v>
      </c>
      <c r="L5" s="36">
        <v>1</v>
      </c>
      <c r="N5" s="20" t="s">
        <v>82</v>
      </c>
      <c r="R5" s="20" t="s">
        <v>167</v>
      </c>
      <c r="S5" s="40" t="b">
        <v>0</v>
      </c>
      <c r="T5" s="40" t="b">
        <v>0</v>
      </c>
      <c r="V5" s="20" t="s">
        <v>172</v>
      </c>
      <c r="W5" s="40" t="b">
        <v>0</v>
      </c>
      <c r="X5" s="40" t="b">
        <v>0</v>
      </c>
      <c r="Z5" s="20" t="s">
        <v>175</v>
      </c>
      <c r="AA5" s="36">
        <v>4</v>
      </c>
      <c r="AC5" s="20" t="s">
        <v>68</v>
      </c>
      <c r="AI5" s="54"/>
      <c r="AJ5" s="54"/>
      <c r="AK5" s="54"/>
      <c r="AL5" s="54"/>
      <c r="AM5" s="54"/>
      <c r="AN5" s="54"/>
    </row>
    <row r="6" spans="1:40" ht="24" customHeight="1" x14ac:dyDescent="0.2">
      <c r="A6" s="12" t="s">
        <v>114</v>
      </c>
      <c r="B6" s="38">
        <v>7</v>
      </c>
      <c r="C6" s="39" t="s">
        <v>115</v>
      </c>
      <c r="E6" s="20" t="s">
        <v>67</v>
      </c>
      <c r="F6" s="40" t="b">
        <v>1</v>
      </c>
      <c r="G6" s="40" t="b">
        <v>0</v>
      </c>
      <c r="H6" s="40" t="b">
        <v>0</v>
      </c>
      <c r="I6" s="40" t="b">
        <v>0</v>
      </c>
      <c r="K6" s="20" t="s">
        <v>80</v>
      </c>
      <c r="L6" s="36">
        <v>2</v>
      </c>
      <c r="N6" s="20" t="s">
        <v>66</v>
      </c>
      <c r="R6" s="20" t="s">
        <v>168</v>
      </c>
      <c r="S6" s="40" t="b">
        <v>1</v>
      </c>
      <c r="T6" s="40" t="b">
        <v>0</v>
      </c>
      <c r="V6" s="20" t="s">
        <v>94</v>
      </c>
      <c r="W6" s="40" t="b">
        <v>1</v>
      </c>
      <c r="X6" s="40" t="b">
        <v>0</v>
      </c>
      <c r="Z6" s="20" t="s">
        <v>176</v>
      </c>
      <c r="AA6" s="36">
        <v>9</v>
      </c>
      <c r="AC6" s="20" t="s">
        <v>178</v>
      </c>
      <c r="AI6" s="54"/>
      <c r="AJ6" s="54"/>
      <c r="AK6" s="54"/>
      <c r="AL6" s="54"/>
      <c r="AM6" s="54"/>
      <c r="AN6" s="54"/>
    </row>
    <row r="7" spans="1:40" ht="24" customHeight="1" x14ac:dyDescent="0.2">
      <c r="A7" s="12" t="s">
        <v>116</v>
      </c>
      <c r="B7" s="38">
        <v>14</v>
      </c>
      <c r="C7" s="39" t="s">
        <v>117</v>
      </c>
      <c r="E7" s="20" t="s">
        <v>147</v>
      </c>
      <c r="F7" s="40" t="b">
        <v>1</v>
      </c>
      <c r="G7" s="40" t="b">
        <v>0</v>
      </c>
      <c r="H7" s="40" t="b">
        <v>0</v>
      </c>
      <c r="I7" s="40" t="b">
        <v>0</v>
      </c>
      <c r="K7" s="20" t="s">
        <v>151</v>
      </c>
      <c r="L7" s="36">
        <v>2</v>
      </c>
      <c r="N7" s="20" t="s">
        <v>161</v>
      </c>
      <c r="R7" s="20" t="s">
        <v>169</v>
      </c>
      <c r="S7" s="40" t="b">
        <v>0</v>
      </c>
      <c r="T7" s="40" t="b">
        <v>0</v>
      </c>
      <c r="V7" s="20" t="s">
        <v>149</v>
      </c>
      <c r="W7" s="40" t="b">
        <v>1</v>
      </c>
      <c r="X7" s="40" t="b">
        <v>1</v>
      </c>
      <c r="Z7" s="20" t="s">
        <v>177</v>
      </c>
      <c r="AA7" s="36">
        <v>16</v>
      </c>
      <c r="AC7" s="20" t="s">
        <v>179</v>
      </c>
      <c r="AI7" s="54"/>
      <c r="AJ7" s="54"/>
      <c r="AK7" s="54"/>
      <c r="AL7" s="54"/>
      <c r="AM7" s="54"/>
      <c r="AN7" s="54"/>
    </row>
    <row r="8" spans="1:40" ht="24" customHeight="1" x14ac:dyDescent="0.2">
      <c r="A8" s="12" t="s">
        <v>118</v>
      </c>
      <c r="B8" s="38">
        <v>1</v>
      </c>
      <c r="C8" s="39" t="s">
        <v>119</v>
      </c>
      <c r="E8" s="20" t="s">
        <v>78</v>
      </c>
      <c r="F8" s="40" t="b">
        <v>0</v>
      </c>
      <c r="G8" s="40" t="b">
        <v>1</v>
      </c>
      <c r="H8" s="40" t="b">
        <v>0</v>
      </c>
      <c r="I8" s="40" t="b">
        <v>0</v>
      </c>
      <c r="K8" s="20" t="s">
        <v>152</v>
      </c>
      <c r="L8" s="36">
        <v>3</v>
      </c>
      <c r="N8" s="20" t="s">
        <v>162</v>
      </c>
      <c r="R8" s="20" t="s">
        <v>102</v>
      </c>
      <c r="S8" s="40" t="b">
        <v>0</v>
      </c>
      <c r="T8" s="40" t="b">
        <v>1</v>
      </c>
      <c r="AI8" s="54"/>
      <c r="AJ8" s="54"/>
      <c r="AK8" s="54"/>
      <c r="AL8" s="54"/>
      <c r="AM8" s="54"/>
      <c r="AN8" s="54"/>
    </row>
    <row r="9" spans="1:40" ht="24" customHeight="1" x14ac:dyDescent="0.2">
      <c r="A9" s="12" t="s">
        <v>120</v>
      </c>
      <c r="B9" s="38">
        <v>4</v>
      </c>
      <c r="C9" s="39" t="s">
        <v>121</v>
      </c>
      <c r="E9" s="20" t="s">
        <v>148</v>
      </c>
      <c r="F9" s="40" t="b">
        <v>0</v>
      </c>
      <c r="G9" s="40" t="b">
        <v>1</v>
      </c>
      <c r="H9" s="40" t="b">
        <v>1</v>
      </c>
      <c r="I9" s="40" t="b">
        <v>0</v>
      </c>
      <c r="K9" s="20" t="s">
        <v>153</v>
      </c>
      <c r="L9" s="36">
        <v>4</v>
      </c>
      <c r="AI9" s="54"/>
      <c r="AJ9" s="54"/>
      <c r="AK9" s="54"/>
      <c r="AL9" s="54"/>
      <c r="AM9" s="54"/>
      <c r="AN9" s="54"/>
    </row>
    <row r="10" spans="1:40" ht="24" customHeight="1" x14ac:dyDescent="0.2">
      <c r="A10" s="12" t="s">
        <v>122</v>
      </c>
      <c r="B10" s="38">
        <v>3</v>
      </c>
      <c r="C10" s="39" t="s">
        <v>123</v>
      </c>
      <c r="E10" s="20" t="s">
        <v>149</v>
      </c>
      <c r="F10" s="40" t="b">
        <v>0</v>
      </c>
      <c r="G10" s="40" t="b">
        <v>1</v>
      </c>
      <c r="H10" s="40" t="b">
        <v>1</v>
      </c>
      <c r="I10" s="40" t="b">
        <v>1</v>
      </c>
      <c r="K10" s="20" t="s">
        <v>154</v>
      </c>
      <c r="L10" s="36">
        <v>4</v>
      </c>
      <c r="AI10" s="54"/>
      <c r="AJ10" s="54"/>
      <c r="AK10" s="54"/>
      <c r="AL10" s="54"/>
      <c r="AM10" s="54"/>
      <c r="AN10" s="54"/>
    </row>
    <row r="11" spans="1:40" ht="24" customHeight="1" x14ac:dyDescent="0.2">
      <c r="A11" s="12" t="s">
        <v>124</v>
      </c>
      <c r="B11" s="38">
        <v>7</v>
      </c>
      <c r="C11" s="39" t="s">
        <v>125</v>
      </c>
      <c r="K11" s="20" t="s">
        <v>72</v>
      </c>
      <c r="L11" s="36">
        <v>4</v>
      </c>
      <c r="AI11" s="54"/>
      <c r="AJ11" s="54"/>
      <c r="AK11" s="54"/>
      <c r="AL11" s="54"/>
      <c r="AM11" s="54"/>
      <c r="AN11" s="54"/>
    </row>
    <row r="12" spans="1:40" ht="24" customHeight="1" x14ac:dyDescent="0.2">
      <c r="A12" s="12" t="s">
        <v>126</v>
      </c>
      <c r="B12" s="38">
        <v>30</v>
      </c>
      <c r="C12" s="39" t="s">
        <v>127</v>
      </c>
      <c r="K12" s="20" t="s">
        <v>155</v>
      </c>
      <c r="L12" s="36">
        <v>4</v>
      </c>
      <c r="AI12" s="54"/>
      <c r="AJ12" s="54"/>
      <c r="AK12" s="54"/>
      <c r="AL12" s="54"/>
      <c r="AM12" s="54"/>
      <c r="AN12" s="54"/>
    </row>
    <row r="13" spans="1:40" ht="24" customHeight="1" x14ac:dyDescent="0.2">
      <c r="A13" s="12" t="s">
        <v>128</v>
      </c>
      <c r="B13" s="38">
        <v>60</v>
      </c>
      <c r="C13" s="39" t="s">
        <v>129</v>
      </c>
      <c r="K13" s="20" t="s">
        <v>76</v>
      </c>
      <c r="L13" s="36">
        <v>5</v>
      </c>
      <c r="AI13" s="54"/>
      <c r="AJ13" s="54"/>
      <c r="AK13" s="54"/>
      <c r="AL13" s="54"/>
      <c r="AM13" s="54"/>
      <c r="AN13" s="54"/>
    </row>
    <row r="14" spans="1:40" ht="24" customHeight="1" x14ac:dyDescent="0.2">
      <c r="A14" s="12" t="s">
        <v>130</v>
      </c>
      <c r="B14" s="38">
        <v>9</v>
      </c>
      <c r="C14" s="39" t="s">
        <v>131</v>
      </c>
      <c r="K14" s="20" t="s">
        <v>156</v>
      </c>
      <c r="L14" s="36">
        <v>5</v>
      </c>
      <c r="AI14" s="54"/>
      <c r="AJ14" s="54"/>
      <c r="AK14" s="54"/>
      <c r="AL14" s="54"/>
      <c r="AM14" s="54"/>
      <c r="AN14" s="54"/>
    </row>
    <row r="15" spans="1:40" ht="24" customHeight="1" x14ac:dyDescent="0.2">
      <c r="A15" s="12" t="s">
        <v>132</v>
      </c>
      <c r="B15" s="13" t="s">
        <v>133</v>
      </c>
      <c r="C15" s="39" t="s">
        <v>134</v>
      </c>
      <c r="K15" s="20" t="s">
        <v>157</v>
      </c>
      <c r="L15" s="36">
        <v>5</v>
      </c>
      <c r="AI15" s="54"/>
      <c r="AJ15" s="54"/>
      <c r="AK15" s="54"/>
      <c r="AL15" s="54"/>
      <c r="AM15" s="54"/>
      <c r="AN15" s="54"/>
    </row>
    <row r="16" spans="1:40" ht="24" customHeight="1" x14ac:dyDescent="0.2">
      <c r="A16" s="12" t="s">
        <v>135</v>
      </c>
      <c r="B16" s="13" t="s">
        <v>136</v>
      </c>
      <c r="C16" s="39" t="s">
        <v>137</v>
      </c>
      <c r="K16" s="20" t="s">
        <v>158</v>
      </c>
      <c r="L16" s="36">
        <v>6</v>
      </c>
      <c r="AI16" s="54"/>
      <c r="AJ16" s="54"/>
      <c r="AK16" s="54"/>
      <c r="AL16" s="54"/>
      <c r="AM16" s="54"/>
      <c r="AN16" s="54"/>
    </row>
    <row r="17" spans="1:40" ht="24" customHeight="1" x14ac:dyDescent="0.2">
      <c r="A17" s="12" t="s">
        <v>138</v>
      </c>
      <c r="B17" s="38">
        <v>1005</v>
      </c>
      <c r="C17" s="39" t="s">
        <v>139</v>
      </c>
      <c r="K17" s="20" t="s">
        <v>159</v>
      </c>
      <c r="L17" s="36">
        <v>6</v>
      </c>
      <c r="AI17" s="54"/>
      <c r="AJ17" s="54"/>
      <c r="AK17" s="54"/>
      <c r="AL17" s="54"/>
      <c r="AM17" s="54"/>
      <c r="AN17" s="54"/>
    </row>
    <row r="18" spans="1:40" ht="24" customHeight="1" x14ac:dyDescent="0.2">
      <c r="A18" s="12" t="s">
        <v>140</v>
      </c>
      <c r="B18" s="38">
        <v>3</v>
      </c>
      <c r="C18" s="39" t="s">
        <v>141</v>
      </c>
      <c r="AI18" s="54"/>
      <c r="AJ18" s="54"/>
      <c r="AK18" s="54"/>
      <c r="AL18" s="54"/>
      <c r="AM18" s="54"/>
      <c r="AN18" s="54"/>
    </row>
  </sheetData>
  <mergeCells count="4">
    <mergeCell ref="A1:C1"/>
    <mergeCell ref="D1:AL1"/>
    <mergeCell ref="AI3:AN3"/>
    <mergeCell ref="AI4:AN18"/>
  </mergeCells>
  <conditionalFormatting sqref="AA4:AA503">
    <cfRule type="expression" dxfId="46" priority="18">
      <formula>OR(AND($Z4="",$AA4&lt;&gt;""),AND($Z4&lt;&gt;"",OR($AA4="",NOT(ISNUMBER($AA4)),INT($AA4)&lt;&gt;$AA4,$AA4&lt;1,$AA4&gt;25,AND(ROW()=4,$AA4&lt;&gt;1),AND(ROW()&gt;4,OR($Z3="",$AA4&lt;=$AA3)))))</formula>
    </cfRule>
  </conditionalFormatting>
  <conditionalFormatting sqref="AC3">
    <cfRule type="expression" dxfId="45" priority="47" stopIfTrue="1">
      <formula>COUNTA(dvDeliveryHealth)&lt;4</formula>
    </cfRule>
  </conditionalFormatting>
  <conditionalFormatting sqref="AC4:AC502">
    <cfRule type="expression" dxfId="44" priority="40" stopIfTrue="1">
      <formula>AND($AC4="",COUNTA($AC5:$AC$503)&gt;0)</formula>
    </cfRule>
  </conditionalFormatting>
  <conditionalFormatting sqref="AC4:AC503">
    <cfRule type="expression" dxfId="43" priority="38">
      <formula>AND(AC4&lt;&gt;"",COUNTIF($AC$4:$AC$503,AC4)&gt;1)</formula>
    </cfRule>
  </conditionalFormatting>
  <conditionalFormatting sqref="AE4:AE503">
    <cfRule type="expression" dxfId="42" priority="39">
      <formula>AND(AE4&lt;&gt;"",COUNTIF($AE$4:$AE$503,AE4)&gt;1)</formula>
    </cfRule>
  </conditionalFormatting>
  <conditionalFormatting sqref="AE4:AG503">
    <cfRule type="expression" dxfId="41" priority="29" stopIfTrue="1">
      <formula>AND($AE4="",OR($AF4&lt;&gt;"",$AG4&lt;&gt;""))</formula>
    </cfRule>
  </conditionalFormatting>
  <conditionalFormatting sqref="AG4:AG503">
    <cfRule type="expression" dxfId="40" priority="30" stopIfTrue="1">
      <formula>AND($AE4&lt;&gt;"",$AG4&lt;&gt;"",COUNTIF(dvTeams,$AG4)=0)</formula>
    </cfRule>
  </conditionalFormatting>
  <conditionalFormatting sqref="B10">
    <cfRule type="expression" dxfId="39" priority="7" stopIfTrue="1">
      <formula>OR(NOT(ISNUMBER(B10)),INT(B10)&lt;&gt;B10,B10&lt;0,B10&gt;3650)</formula>
    </cfRule>
  </conditionalFormatting>
  <conditionalFormatting sqref="B10:B13">
    <cfRule type="expression" dxfId="38" priority="16" stopIfTrue="1">
      <formula>OR(cfgComingUrgentDays&gt;=cfgComingSoonDays,cfgComingSoonDays&gt;=cfgComingNearDays,cfgComingNearDays&gt;=cfgComingHorizonDays)</formula>
    </cfRule>
  </conditionalFormatting>
  <conditionalFormatting sqref="B11">
    <cfRule type="expression" dxfId="37" priority="8" stopIfTrue="1">
      <formula>OR(NOT(ISNUMBER(B11)),INT(B11)&lt;&gt;B11,B11&lt;1,B11&gt;3650)</formula>
    </cfRule>
  </conditionalFormatting>
  <conditionalFormatting sqref="B12">
    <cfRule type="expression" dxfId="36" priority="9" stopIfTrue="1">
      <formula>OR(NOT(ISNUMBER(B12)),INT(B12)&lt;&gt;B12,B12&lt;2,B12&gt;3650)</formula>
    </cfRule>
  </conditionalFormatting>
  <conditionalFormatting sqref="B13">
    <cfRule type="expression" dxfId="35" priority="10" stopIfTrue="1">
      <formula>OR(NOT(ISNUMBER(B13)),INT(B13)&lt;&gt;B13,B13&lt;3,B13&gt;3650)</formula>
    </cfRule>
  </conditionalFormatting>
  <conditionalFormatting sqref="B14">
    <cfRule type="expression" dxfId="34" priority="11" stopIfTrue="1">
      <formula>OR(NOT(ISNUMBER(B14)),INT(B14)&lt;&gt;B14,B14&lt;1,B14&gt;25)</formula>
    </cfRule>
  </conditionalFormatting>
  <conditionalFormatting sqref="B15">
    <cfRule type="expression" dxfId="33" priority="14" stopIfTrue="1">
      <formula>OR(LEN(B15)&lt;1,LEN(B15)&gt;8,TRIM(B15)&lt;&gt;B15,NOT(ISERROR(SEARCH(",",B15))),NOT(ISERROR(SEARCH(CHAR(9),B15))),NOT(ISERROR(SEARCH(CHAR(10),B15))),NOT(ISERROR(SEARCH(CHAR(13),B15))))</formula>
    </cfRule>
  </conditionalFormatting>
  <conditionalFormatting sqref="B16">
    <cfRule type="expression" dxfId="32" priority="15" stopIfTrue="1">
      <formula>OR(LEN(B16)&lt;1,LEN(B16)&gt;8,TRIM(B16)&lt;&gt;B16,NOT(ISERROR(SEARCH(",",B16))),NOT(ISERROR(SEARCH(CHAR(9),B16))),NOT(ISERROR(SEARCH(CHAR(10),B16))),NOT(ISERROR(SEARCH(CHAR(13),B16))))</formula>
    </cfRule>
  </conditionalFormatting>
  <conditionalFormatting sqref="B17">
    <cfRule type="expression" dxfId="31" priority="12" stopIfTrue="1">
      <formula>OR(NOT(ISNUMBER(B17)),INT(B17)&lt;&gt;B17,B17&lt;1,B17&gt;999999999)</formula>
    </cfRule>
  </conditionalFormatting>
  <conditionalFormatting sqref="B18">
    <cfRule type="expression" dxfId="30" priority="13" stopIfTrue="1">
      <formula>OR(NOT(ISNUMBER(B18)),INT(B18)&lt;&gt;B18,B18&lt;1,B18&gt;999999999)</formula>
    </cfRule>
  </conditionalFormatting>
  <conditionalFormatting sqref="B4">
    <cfRule type="expression" dxfId="29" priority="1" stopIfTrue="1">
      <formula>OR(NOT(ISNUMBER(B4)),INT(B4)&lt;&gt;B4,B4&lt;0,B4&gt;365)</formula>
    </cfRule>
  </conditionalFormatting>
  <conditionalFormatting sqref="B5">
    <cfRule type="expression" dxfId="28" priority="2" stopIfTrue="1">
      <formula>OR(NOT(ISNUMBER(B5)),INT(B5)&lt;&gt;B5,B5&lt;0,B5&gt;365)</formula>
    </cfRule>
  </conditionalFormatting>
  <conditionalFormatting sqref="B6">
    <cfRule type="expression" dxfId="27" priority="3" stopIfTrue="1">
      <formula>OR(NOT(ISNUMBER(B6)),INT(B6)&lt;&gt;B6,B6&lt;1,B6&gt;3650)</formula>
    </cfRule>
  </conditionalFormatting>
  <conditionalFormatting sqref="B7">
    <cfRule type="expression" dxfId="26" priority="4" stopIfTrue="1">
      <formula>OR(NOT(ISNUMBER(B7)),INT(B7)&lt;&gt;B7,B7&lt;1,B7&gt;3650)</formula>
    </cfRule>
  </conditionalFormatting>
  <conditionalFormatting sqref="B8">
    <cfRule type="expression" dxfId="25" priority="5" stopIfTrue="1">
      <formula>OR(NOT(ISNUMBER(B8)),INT(B8)&lt;&gt;B8,B8&lt;1,B8&gt;6)</formula>
    </cfRule>
  </conditionalFormatting>
  <conditionalFormatting sqref="B9">
    <cfRule type="expression" dxfId="24" priority="6" stopIfTrue="1">
      <formula>OR(NOT(ISNUMBER(B9)),INT(B9)&lt;&gt;B9,B9&lt;2,B9&gt;6)</formula>
    </cfRule>
  </conditionalFormatting>
  <conditionalFormatting sqref="E3:H3">
    <cfRule type="expression" dxfId="23" priority="41" stopIfTrue="1">
      <formula>OR(COUNTA(dvStatus)=0,COUNTIF(dvStatusActive,TRUE)=0,COUNTIF(dvStatusDone,TRUE)=0)</formula>
    </cfRule>
  </conditionalFormatting>
  <conditionalFormatting sqref="E4:E503">
    <cfRule type="expression" dxfId="22" priority="31">
      <formula>AND(E4&lt;&gt;"",COUNTIF($E$4:$E$503,E4)&gt;1)</formula>
    </cfRule>
  </conditionalFormatting>
  <conditionalFormatting sqref="F4:F503">
    <cfRule type="expression" dxfId="21" priority="21" stopIfTrue="1">
      <formula>OR(AND($E4="",$F4=TRUE),AND($E4&lt;&gt;"",NOT(ISLOGICAL($F4))))</formula>
    </cfRule>
  </conditionalFormatting>
  <conditionalFormatting sqref="F4:I503">
    <cfRule type="expression" dxfId="20" priority="19">
      <formula>AND($E4&lt;&gt;"",OR(AND($F4=TRUE,$G4=TRUE),AND($H4=TRUE,$G4&lt;&gt;TRUE),AND($I4=TRUE,OR($F4=TRUE,$G4&lt;&gt;TRUE,$H4&lt;&gt;TRUE)),COUNTIF(dvStatusDeleted,TRUE)&lt;&gt;1))</formula>
    </cfRule>
  </conditionalFormatting>
  <conditionalFormatting sqref="G4:G503">
    <cfRule type="expression" dxfId="19" priority="22" stopIfTrue="1">
      <formula>OR(AND($E4="",$G4=TRUE),AND($E4&lt;&gt;"",NOT(ISLOGICAL($G4))))</formula>
    </cfRule>
  </conditionalFormatting>
  <conditionalFormatting sqref="H4:H503">
    <cfRule type="expression" dxfId="18" priority="23" stopIfTrue="1">
      <formula>OR(AND($E4="",$H4=TRUE),AND($E4&lt;&gt;"",NOT(ISLOGICAL($H4))))</formula>
    </cfRule>
  </conditionalFormatting>
  <conditionalFormatting sqref="I4:I503">
    <cfRule type="expression" dxfId="17" priority="24" stopIfTrue="1">
      <formula>OR(AND($E4="",$I4=TRUE),AND($E4&lt;&gt;"",NOT(ISLOGICAL($I4))))</formula>
    </cfRule>
  </conditionalFormatting>
  <conditionalFormatting sqref="K3:L3">
    <cfRule type="expression" dxfId="16" priority="42" stopIfTrue="1">
      <formula>OR(COUNTA(dvTypes)=0,COUNTIF(dvTypeLevels,1)=0)</formula>
    </cfRule>
  </conditionalFormatting>
  <conditionalFormatting sqref="K4:K503">
    <cfRule type="expression" dxfId="15" priority="32">
      <formula>AND(K4&lt;&gt;"",COUNTIF($K$4:$K$503,K4)&gt;1)</formula>
    </cfRule>
  </conditionalFormatting>
  <conditionalFormatting sqref="L4:L503">
    <cfRule type="expression" dxfId="14" priority="17">
      <formula>OR(AND($K4="",$L4&lt;&gt;""),AND($K4&lt;&gt;"",OR(NOT(ISNUMBER($L4)),INT($L4)&lt;&gt;$L4,$L4&lt;1,$L4&gt;6)))</formula>
    </cfRule>
  </conditionalFormatting>
  <conditionalFormatting sqref="N3">
    <cfRule type="expression" dxfId="13" priority="43" stopIfTrue="1">
      <formula>COUNTA(dvPriorities)=0</formula>
    </cfRule>
  </conditionalFormatting>
  <conditionalFormatting sqref="N4:N503">
    <cfRule type="expression" dxfId="12" priority="33">
      <formula>AND(N4&lt;&gt;"",COUNTIF($N$4:$N$503,N4)&gt;1)</formula>
    </cfRule>
  </conditionalFormatting>
  <conditionalFormatting sqref="P4:P503">
    <cfRule type="expression" dxfId="11" priority="34">
      <formula>AND(P4&lt;&gt;"",COUNTIF($P$4:$P$503,P4)&gt;1)</formula>
    </cfRule>
  </conditionalFormatting>
  <conditionalFormatting sqref="R3:T3">
    <cfRule type="expression" dxfId="10" priority="44" stopIfTrue="1">
      <formula>OR(COUNTA(dvRaidTypes)=0,COUNTIF(dvRaidAlert,TRUE)=0,COUNTIF(dvRaidDecision,TRUE)=0)</formula>
    </cfRule>
  </conditionalFormatting>
  <conditionalFormatting sqref="R4:R503">
    <cfRule type="expression" dxfId="9" priority="35">
      <formula>AND(R4&lt;&gt;"",COUNTIF($R$4:$R$503,R4)&gt;1)</formula>
    </cfRule>
  </conditionalFormatting>
  <conditionalFormatting sqref="S4:S503">
    <cfRule type="expression" dxfId="8" priority="25" stopIfTrue="1">
      <formula>OR(AND($R4="",$S4=TRUE),AND($R4&lt;&gt;"",NOT(ISLOGICAL($S4))))</formula>
    </cfRule>
  </conditionalFormatting>
  <conditionalFormatting sqref="T4:T503">
    <cfRule type="expression" dxfId="7" priority="26" stopIfTrue="1">
      <formula>OR(AND($R4="",$T4=TRUE),AND($R4&lt;&gt;"",NOT(ISLOGICAL($T4))))</formula>
    </cfRule>
  </conditionalFormatting>
  <conditionalFormatting sqref="V3:W3">
    <cfRule type="expression" dxfId="6" priority="45" stopIfTrue="1">
      <formula>OR(COUNTA(dvRaidStatuses)=0,COUNTIF(dvRaidClosed,TRUE)=0)</formula>
    </cfRule>
  </conditionalFormatting>
  <conditionalFormatting sqref="V4:V503">
    <cfRule type="expression" dxfId="5" priority="36">
      <formula>AND(V4&lt;&gt;"",COUNTIF($V$4:$V$503,V4)&gt;1)</formula>
    </cfRule>
  </conditionalFormatting>
  <conditionalFormatting sqref="W4:W503">
    <cfRule type="expression" dxfId="4" priority="27" stopIfTrue="1">
      <formula>OR(AND($V4="",$W4=TRUE),AND($V4&lt;&gt;"",NOT(ISLOGICAL($W4))))</formula>
    </cfRule>
  </conditionalFormatting>
  <conditionalFormatting sqref="W4:X503">
    <cfRule type="expression" dxfId="3" priority="20">
      <formula>AND($V4&lt;&gt;"",OR(AND($X4=TRUE,$W4&lt;&gt;TRUE),COUNTIF(dvRaidDeleted,TRUE)&lt;&gt;1))</formula>
    </cfRule>
  </conditionalFormatting>
  <conditionalFormatting sqref="X4:X503">
    <cfRule type="expression" dxfId="2" priority="28" stopIfTrue="1">
      <formula>OR(AND($V4="",$X4=TRUE),AND($V4&lt;&gt;"",NOT(ISLOGICAL($X4))))</formula>
    </cfRule>
  </conditionalFormatting>
  <conditionalFormatting sqref="Z3:AA3">
    <cfRule type="expression" dxfId="1" priority="46" stopIfTrue="1">
      <formula>OR(COUNTA(dvSeverity)=0,COUNT(dvSeverityMinScore)&lt;&gt;COUNTA(dvSeverity),COUNTIF(dvSeverityMinScore,1)=0)</formula>
    </cfRule>
  </conditionalFormatting>
  <conditionalFormatting sqref="Z4:Z503">
    <cfRule type="expression" dxfId="0" priority="37">
      <formula>AND(Z4&lt;&gt;"",COUNTIF($Z$4:$Z$503,Z4)&gt;1)</formula>
    </cfRule>
  </conditionalFormatting>
  <dataValidations count="13">
    <dataValidation type="whole" showInputMessage="1" showErrorMessage="1" errorTitle="Value outside the allowed range" error="Use a whole number from 0 to 365." promptTitle="Allowed value" prompt="Enter a whole number from 0 to 365." sqref="B4:B5" xr:uid="{00000000-0002-0000-0400-000000000000}">
      <formula1>0</formula1>
      <formula2>365</formula2>
    </dataValidation>
    <dataValidation type="whole" showInputMessage="1" showErrorMessage="1" errorTitle="Value outside the allowed range" error="Use a whole number from 1 to 3650." promptTitle="Allowed value" prompt="Enter a whole number from 1 to 3650." sqref="B11 B6:B7" xr:uid="{00000000-0002-0000-0400-000002000000}">
      <formula1>1</formula1>
      <formula2>3650</formula2>
    </dataValidation>
    <dataValidation type="whole" showInputMessage="1" showErrorMessage="1" errorTitle="Value outside the allowed range" error="Use a whole number from 1 to 6." promptTitle="Allowed value" prompt="Enter a whole number from 1 to 6." sqref="B8" xr:uid="{00000000-0002-0000-0400-000004000000}">
      <formula1>1</formula1>
      <formula2>6</formula2>
    </dataValidation>
    <dataValidation type="whole" showInputMessage="1" showErrorMessage="1" errorTitle="Value outside the allowed range" error="Use a whole number from 2 to 6." promptTitle="Allowed value" prompt="Enter a whole number from 2 to 6." sqref="B9" xr:uid="{00000000-0002-0000-0400-000005000000}">
      <formula1>2</formula1>
      <formula2>6</formula2>
    </dataValidation>
    <dataValidation type="whole" showInputMessage="1" showErrorMessage="1" errorTitle="Value outside the allowed range" error="Use a whole number from 0 to 3650." promptTitle="Allowed value" prompt="Enter a whole number from 0 to 3650." sqref="B10" xr:uid="{00000000-0002-0000-0400-000006000000}">
      <formula1>0</formula1>
      <formula2>3650</formula2>
    </dataValidation>
    <dataValidation type="whole" showInputMessage="1" showErrorMessage="1" errorTitle="Value outside the allowed range" error="Use a whole number from 2 to 3650." promptTitle="Allowed value" prompt="Enter a whole number from 2 to 3650." sqref="B12" xr:uid="{00000000-0002-0000-0400-000008000000}">
      <formula1>2</formula1>
      <formula2>3650</formula2>
    </dataValidation>
    <dataValidation type="whole" showInputMessage="1" showErrorMessage="1" errorTitle="Value outside the allowed range" error="Use a whole number from 3 to 3650." promptTitle="Allowed value" prompt="Enter a whole number from 3 to 3650." sqref="B13" xr:uid="{00000000-0002-0000-0400-000009000000}">
      <formula1>3</formula1>
      <formula2>3650</formula2>
    </dataValidation>
    <dataValidation type="whole" showInputMessage="1" showErrorMessage="1" errorTitle="Value outside the allowed range" error="Use a whole number from 1 to 25." promptTitle="Allowed value" prompt="Enter a whole number from 1 to 25." sqref="B14" xr:uid="{00000000-0002-0000-0400-00000A000000}">
      <formula1>1</formula1>
      <formula2>25</formula2>
    </dataValidation>
    <dataValidation type="custom" showInputMessage="1" showErrorMessage="1" errorTitle="Use a valid prefix" error="Use 1-8 trimmed characters with no comma, tab or line break." promptTitle="ID prefix" prompt="Use 1-8 trimmed characters with no comma, tab or line break, for example I-." sqref="B15:B16" xr:uid="{00000000-0002-0000-0400-00000B000000}">
      <formula1>AND(LEN(B15)&gt;=1,LEN(B15)&lt;=8,TRIM(B15)=B15,ISERROR(SEARCH(",",B15)),ISERROR(SEARCH(CHAR(9),B15)),ISERROR(SEARCH(CHAR(10),B15)),ISERROR(SEARCH(CHAR(13),B15)))</formula1>
    </dataValidation>
    <dataValidation type="whole" showInputMessage="1" showErrorMessage="1" errorTitle="Value outside the allowed range" error="Use a whole number from 1 to 999999999." promptTitle="Allowed value" prompt="Enter a whole number from 1 to 999999999." sqref="B17:B18" xr:uid="{00000000-0002-0000-0400-00000D000000}">
      <formula1>1</formula1>
      <formula2>999999999</formula2>
    </dataValidation>
    <dataValidation type="whole" allowBlank="1" showInputMessage="1" showErrorMessage="1" errorTitle="Level must be 1-6" error="Enter a whole number from 1 to 6." promptTitle="Hierarchy level" prompt="Choose a whole-number level from 1 to 6." sqref="L4:L503" xr:uid="{00000000-0002-0000-0400-00000F000000}">
      <formula1>1</formula1>
      <formula2>6</formula2>
    </dataValidation>
    <dataValidation type="whole" allowBlank="1" showInputMessage="1" showErrorMessage="1" errorTitle="Score must be 1-25" error="Enter a whole number from 1 to 25." promptTitle="Minimum score" prompt="Score = Probability × Impact (1-25). Bands must increase down the table from 1." sqref="AA4:AA503" xr:uid="{00000000-0002-0000-0400-000010000000}">
      <formula1>1</formula1>
      <formula2>25</formula2>
    </dataValidation>
    <dataValidation type="list" allowBlank="1" showInputMessage="1" showErrorMessage="1" errorTitle="Choose a listed team" error="Use the dropdown list." promptTitle="Team" prompt="Choose a team from Config." sqref="AG4:AG503" xr:uid="{00000000-0002-0000-0400-000011000000}">
      <formula1>dvTeams</formula1>
    </dataValidation>
  </dataValidations>
  <pageMargins left="0.25" right="0.25" top="0.35" bottom="0.35" header="0.3" footer="0.3"/>
  <pageSetup paperSize="9" fitToHeight="0" orientation="landscape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6788A"/>
  </sheetPr>
  <dimension ref="A1:AM5"/>
  <sheetViews>
    <sheetView showGridLines="0" workbookViewId="0"/>
  </sheetViews>
  <sheetFormatPr baseColWidth="10" defaultColWidth="9" defaultRowHeight="14" x14ac:dyDescent="0.2"/>
  <cols>
    <col min="1" max="2" width="14.796875" style="11" customWidth="1"/>
    <col min="4" max="9" width="14.796875" style="11" customWidth="1"/>
    <col min="11" max="13" width="14.796875" style="11" customWidth="1"/>
  </cols>
  <sheetData>
    <row r="1" spans="1:39" ht="15" x14ac:dyDescent="0.2">
      <c r="A1" s="41" t="s">
        <v>185</v>
      </c>
      <c r="B1" s="41" t="s">
        <v>186</v>
      </c>
      <c r="D1" s="41" t="s">
        <v>187</v>
      </c>
      <c r="E1" s="41" t="s">
        <v>188</v>
      </c>
      <c r="F1" s="41" t="s">
        <v>189</v>
      </c>
      <c r="G1" s="41" t="s">
        <v>190</v>
      </c>
      <c r="H1" s="41" t="s">
        <v>191</v>
      </c>
      <c r="I1" s="41" t="s">
        <v>192</v>
      </c>
      <c r="K1" s="41" t="s">
        <v>193</v>
      </c>
      <c r="L1" s="41" t="s">
        <v>194</v>
      </c>
      <c r="M1" s="41" t="s">
        <v>195</v>
      </c>
      <c r="AK1" s="41" t="s">
        <v>196</v>
      </c>
      <c r="AM1" s="12" t="s">
        <v>197</v>
      </c>
    </row>
    <row r="2" spans="1:39" x14ac:dyDescent="0.2">
      <c r="A2" s="11" t="str" cm="1">
        <f t="array" ref="A2:A5">_xlfn._xlws.SORT(_xlfn._xlws.FILTER(tblItems[ID],tblItems[ID]&lt;&gt;"",""))</f>
        <v>I-1001</v>
      </c>
      <c r="B2" s="11" t="str" cm="1">
        <f t="array" ref="B2">_xlfn._xlws.SORT(_xlfn._xlws.FILTER(tblPeople[Person],tblPeople[Person]&lt;&gt;"",""))</f>
        <v>Max</v>
      </c>
      <c r="D2" s="11" t="str" cm="1">
        <f t="array" ref="D2:D3">_xlfn._xlws.FILTER(tblStatuses[Status],tblStatuses[IsActive]=TRUE,"")</f>
        <v>In Progress</v>
      </c>
      <c r="E2" s="11" t="str" cm="1">
        <f t="array" ref="E2:E4">_xlfn._xlws.FILTER(tblStatuses[Status],tblStatuses[IsDone]=TRUE,"")</f>
        <v>Done</v>
      </c>
      <c r="F2" s="11" t="str" cm="1">
        <f t="array" ref="F2:F3">_xlfn._xlws.FILTER(tblStatuses[Status],tblStatuses[IsCancelled]=TRUE,"")</f>
        <v>Cancelled</v>
      </c>
      <c r="G2" s="11" t="str" cm="1">
        <f t="array" ref="G2:G3">_xlfn._xlws.FILTER(tblRaidStatuses[RaidStatus],tblRaidStatuses[IsClosed]=TRUE,"")</f>
        <v>Closed</v>
      </c>
      <c r="H2" s="11" t="str" cm="1">
        <f t="array" ref="H2:H3">_xlfn._xlws.FILTER(tblRaidTypes[RaidType],tblRaidTypes[IsAlert]=TRUE,"")</f>
        <v>Risk</v>
      </c>
      <c r="I2" s="11" t="str" cm="1">
        <f t="array" ref="I2">_xlfn._xlws.FILTER(tblRaidTypes[RaidType],tblRaidTypes[IsDecision]=TRUE,"")</f>
        <v>Decision</v>
      </c>
      <c r="K2" s="11" t="str" cm="1">
        <f t="array" ref="K2">_xlfn.LET(_xlpm.lv,_xlfn.XLOOKUP(tblItems[Type],tblTypes[Type],tblTypes[Level],0),_xlpm.ids,_xlfn._xlws.FILTER(tblItems[ID],(_xlpm.lv=1)*(tblItems[ID]&lt;&gt;"")*(1-ISNUMBER(_xlfn.XMATCH(tblItems[Status],lstDoneStatus))),""),_xlfn._xlws.SORT(_xlfn.UNIQUE(_xlpm.ids)))</f>
        <v>I-1001</v>
      </c>
      <c r="L2" s="11" t="str" cm="1">
        <f t="array" ref="L2">IF(_xlfn.ANCHORARRAY(K2)="","",_xlfn.ANCHORARRAY(K2)&amp;" · "&amp;_xlfn.XLOOKUP(_xlfn.ANCHORARRAY(K2),tblItems[ID],tblItems[Title],"Untitled"))</f>
        <v>I-1001 · Example Project</v>
      </c>
      <c r="M2" s="11" t="str" cm="1">
        <f t="array" ref="M2:M3">_xlfn.VSTACK("All",_xlfn._xlws.FILTER(_xlfn.ANCHORARRAY(L2),_xlfn.ANCHORARRAY(L2)&lt;&gt;"",""))</f>
        <v>All</v>
      </c>
      <c r="AK2" s="11">
        <f>_xlfn.LET(_xlpm.directblocked,LOOKUP(2,1/(dvDeliveryHealth&lt;&gt;""),dvDeliveryHealth),SUMPRODUCT((tblItems[ID]&lt;&gt;"")*(tblItems[Level]&gt;=1)*(((tblItems[Level]&lt;=cfgExecutiveStatusMaxLevel)+(tblItems[Delivery Health]=_xlpm.directblocked))&gt;0)*(1-ISNUMBER(_xlfn.XMATCH(tblItems[Status],lstDoneStatus)))*(1-ISNUMBER(_xlfn.XMATCH(tblItems[Status],lstCancelledStatus)))))</f>
        <v>1</v>
      </c>
    </row>
    <row r="3" spans="1:39" x14ac:dyDescent="0.2">
      <c r="A3" s="11" t="str">
        <v>I-1002</v>
      </c>
      <c r="D3" s="11" t="str">
        <v>Review</v>
      </c>
      <c r="E3" s="11" t="str">
        <v>Cancelled</v>
      </c>
      <c r="F3" s="11" t="str">
        <v>Deleted</v>
      </c>
      <c r="G3" s="11" t="str">
        <v>Deleted</v>
      </c>
      <c r="H3" s="11" t="str">
        <v>Issue</v>
      </c>
      <c r="M3" s="11" t="str">
        <v>I-1001 · Example Project</v>
      </c>
      <c r="AK3" s="11">
        <f>SUMPRODUCT((tblRAID[Title]&lt;&gt;"")*(1-ISNUMBER(_xlfn.XMATCH(tblRAID[Status],lstClosedRaid)))*ISNUMBER(_xlfn.XMATCH(tblRAID[Type],lstAlertRaid))*(tblRAID[Score]&lt;&gt;"")*(tblRAID[Score]&gt;=cfgAlertSevScore))</f>
        <v>1</v>
      </c>
    </row>
    <row r="4" spans="1:39" x14ac:dyDescent="0.2">
      <c r="A4" s="11" t="str">
        <v>I-1003</v>
      </c>
      <c r="E4" s="11" t="str">
        <v>Deleted</v>
      </c>
      <c r="AK4" s="11">
        <f ca="1">SUMPRODUCT((tblItems[IsPoint]=TRUE)*(tblItems[Level]&gt;=2)*(tblItems[Level]&lt;=cfgKeyDateMaxLevel)*(tblItems[Due]&lt;&gt;"")*(tblItems[Due]&gt;=TODAY())*(1-ISNUMBER(_xlfn.XMATCH(tblItems[Status],lstDoneStatus)))*(1-ISNUMBER(_xlfn.XMATCH(tblItems[Status],lstCancelledStatus))))+SUMPRODUCT((tblRAID[Title]&lt;&gt;"")*(1-ISNUMBER(_xlfn.XMATCH(tblRAID[Status],lstClosedRaid)))*ISNUMBER(_xlfn.XMATCH(tblRAID[Type],lstDecisionRaid))*(tblRAID[NextReview]&lt;&gt;"")*(tblRAID[NextReview]&gt;=TODAY()))</f>
        <v>2</v>
      </c>
    </row>
    <row r="5" spans="1:39" x14ac:dyDescent="0.2">
      <c r="A5" s="11" t="str">
        <v>I-1004</v>
      </c>
      <c r="AK5" s="11">
        <f ca="1">SUMPRODUCT((tblItems[ID]&lt;&gt;"")*(tblItems[DoneDate]&lt;&gt;"")*(tblItems[DoneDate]&gt;=TODAY()-cfgReportDays)*(1-ISNUMBER(_xlfn.XMATCH(tblItems[Status],lstCancelledStatus))))</f>
        <v>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Overview</vt:lpstr>
      <vt:lpstr>Plan</vt:lpstr>
      <vt:lpstr>Items</vt:lpstr>
      <vt:lpstr>RAID</vt:lpstr>
      <vt:lpstr>Config</vt:lpstr>
      <vt:lpstr>Calc</vt:lpstr>
      <vt:lpstr>cfgAlertSevScore</vt:lpstr>
      <vt:lpstr>cfgBlockedRedDays</vt:lpstr>
      <vt:lpstr>cfgComingHorizonDays</vt:lpstr>
      <vt:lpstr>cfgComingNearDays</vt:lpstr>
      <vt:lpstr>cfgComingSoonDays</vt:lpstr>
      <vt:lpstr>cfgComingUrgentDays</vt:lpstr>
      <vt:lpstr>cfgDueSoonDays</vt:lpstr>
      <vt:lpstr>cfgExecutiveStatusMaxLevel</vt:lpstr>
      <vt:lpstr>cfgItemIDPrefix</vt:lpstr>
      <vt:lpstr>cfgKeyDateMaxLevel</vt:lpstr>
      <vt:lpstr>cfgNextItemID</vt:lpstr>
      <vt:lpstr>cfgNextRaidID</vt:lpstr>
      <vt:lpstr>cfgRaidIDPrefix</vt:lpstr>
      <vt:lpstr>cfgReportDays</vt:lpstr>
      <vt:lpstr>cfgStaleDays</vt:lpstr>
      <vt:lpstr>dvDeliveryHealth</vt:lpstr>
      <vt:lpstr>dvItemIDs</vt:lpstr>
      <vt:lpstr>dvPeople</vt:lpstr>
      <vt:lpstr>dvPriorities</vt:lpstr>
      <vt:lpstr>dvRaidAlert</vt:lpstr>
      <vt:lpstr>dvRaidClosed</vt:lpstr>
      <vt:lpstr>dvRaidDecision</vt:lpstr>
      <vt:lpstr>dvRaidDeleted</vt:lpstr>
      <vt:lpstr>dvRaidStatuses</vt:lpstr>
      <vt:lpstr>dvRaidTypes</vt:lpstr>
      <vt:lpstr>dvScopeLabels</vt:lpstr>
      <vt:lpstr>dvSeverity</vt:lpstr>
      <vt:lpstr>dvSeverityMinScore</vt:lpstr>
      <vt:lpstr>dvStatus</vt:lpstr>
      <vt:lpstr>dvStatusActive</vt:lpstr>
      <vt:lpstr>dvStatusCancelled</vt:lpstr>
      <vt:lpstr>dvStatusDeleted</vt:lpstr>
      <vt:lpstr>dvStatusDone</vt:lpstr>
      <vt:lpstr>dvTeams</vt:lpstr>
      <vt:lpstr>dvTypeLevels</vt:lpstr>
      <vt:lpstr>dvTypes</vt:lpstr>
      <vt:lpstr>Overview!Print_Area</vt:lpstr>
      <vt:lpstr>Plan!Print_Area</vt:lpstr>
      <vt:lpstr>Config!Print_Titles</vt:lpstr>
      <vt:lpstr>Items!Print_Titles</vt:lpstr>
      <vt:lpstr>Plan!Print_Titles</vt:lpstr>
      <vt:lpstr>RAID!Print_Titles</vt:lpstr>
      <vt:lpstr>selPDepth</vt:lpstr>
      <vt:lpstr>selPFrom</vt:lpstr>
      <vt:lpstr>selPScope</vt:lpstr>
      <vt:lpstr>selPScope2</vt:lpstr>
      <vt:lpstr>selPScope3</vt:lpstr>
      <vt:lpstr>selPScopeID</vt:lpstr>
      <vt:lpstr>selPScopeID2</vt:lpstr>
      <vt:lpstr>selPScopeID3</vt:lpstr>
      <vt:lpstr>selPTo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Max Shahi</cp:lastModifiedBy>
  <dcterms:created xsi:type="dcterms:W3CDTF">2026-01-01T00:00:00Z</dcterms:created>
  <dcterms:modified xsi:type="dcterms:W3CDTF">2026-07-15T15:52:37Z</dcterms:modified>
</cp:coreProperties>
</file>